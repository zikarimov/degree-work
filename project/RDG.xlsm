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tables/table2.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d.docs.live.net/fcfb94bd3605ce6d/Рабочий стол/rdg/rdg/"/>
    </mc:Choice>
  </mc:AlternateContent>
  <xr:revisionPtr revIDLastSave="3" documentId="13_ncr:1_{82181688-544B-44FD-A02B-45EEB55B6831}" xr6:coauthVersionLast="47" xr6:coauthVersionMax="47" xr10:uidLastSave="{69041FA3-9577-4F17-B474-93C722B24817}"/>
  <bookViews>
    <workbookView xWindow="-120" yWindow="-120" windowWidth="29040" windowHeight="15720" activeTab="3" xr2:uid="{00000000-000D-0000-FFFF-FFFF00000000}"/>
  </bookViews>
  <sheets>
    <sheet name="internal" sheetId="8" r:id="rId1"/>
    <sheet name="Настройки" sheetId="9" r:id="rId2"/>
    <sheet name="БД Авторов" sheetId="7" r:id="rId3"/>
    <sheet name="РИД" sheetId="1" r:id="rId4"/>
    <sheet name="Авторы" sheetId="2" r:id="rId5"/>
    <sheet name="Служебное задание" sheetId="3" r:id="rId6"/>
    <sheet name="Подача заявки" sheetId="6" r:id="rId7"/>
    <sheet name="Next steps" sheetId="10" r:id="rId8"/>
  </sheets>
  <functionGroups builtInGroupCount="19"/>
  <definedNames>
    <definedName name="are_files_ok">internal!$B$3</definedName>
    <definedName name="last_code_folder">internal!$B$4</definedName>
    <definedName name="reg_cd_filename">'Next steps'!$M$45</definedName>
    <definedName name="reg_docs_folder">'Next steps'!$K$10</definedName>
    <definedName name="reg_docs_pdffolder">'Next steps'!$K$15</definedName>
    <definedName name="reg_printfiles_divider">'Next steps'!$J$41</definedName>
    <definedName name="reg_printfiles_first_copiescount">'Next steps'!$Q$33</definedName>
    <definedName name="reg_printfiles_first_name">'Next steps'!$K$33</definedName>
    <definedName name="reg_printfiles_first_printtype">'Next steps'!$O$33</definedName>
    <definedName name="reg_sendpdf_contact">'Next steps'!$M$27</definedName>
    <definedName name="reg_sendpdf_email">'Next steps'!$M$25</definedName>
    <definedName name="reg_sendpdf_name">'Next steps'!$M$24</definedName>
    <definedName name="reg_sendpdf_subject">'Next steps'!$M$26</definedName>
    <definedName name="reg_submit_address">'Next steps'!$M$52</definedName>
    <definedName name="reg_submit_name">'Next steps'!$M$51</definedName>
    <definedName name="reg_submit_room">'Next steps'!$M$53</definedName>
    <definedName name="ria_annotation">РИД!$K$20</definedName>
    <definedName name="ria_authors_contacts">Авторы!$K$12</definedName>
    <definedName name="ria_authors_department">Авторы!$K$8</definedName>
    <definedName name="ria_code_file">РИД!$K$51</definedName>
    <definedName name="ria_code_size">РИД!$K$54</definedName>
    <definedName name="ria_docs_submission_date">'Подача заявки'!$L$9</definedName>
    <definedName name="ria_docs_submission_responsible_fullname_long">'Подача заявки'!$L$13</definedName>
    <definedName name="ria_officialtask_enddate">'Служебное задание'!$O$8</definedName>
    <definedName name="ria_officialtask_responsible_fullname_long">'Служебное задание'!$L$16</definedName>
    <definedName name="ria_officialtask_responsible_fullname_long_da">'Служебное задание'!$L$20</definedName>
    <definedName name="ria_officialtask_responsible_fullname_long_tv">'Служебное задание'!$L$24</definedName>
    <definedName name="ria_officialtask_responsible_position">'Служебное задание'!$L$28</definedName>
    <definedName name="ria_officialtask_stafftime">'Служебное задание'!$M$12</definedName>
    <definedName name="ria_officialtask_startdate">'Служебное задание'!$L$8</definedName>
    <definedName name="ria_programming_language">РИД!$K$48</definedName>
    <definedName name="ria_specification">РИД!$K$40</definedName>
    <definedName name="ria_title">РИД!$K$16</definedName>
    <definedName name="ria_year">РИД!$S$16</definedName>
    <definedName name="tmpl_date" localSheetId="0">internal!$B$2</definedName>
    <definedName name="tmpl_date" localSheetId="4">Авторы!$C$8</definedName>
    <definedName name="tmpl_date" localSheetId="2">'БД Авторов'!$C$8</definedName>
    <definedName name="tmpl_date" localSheetId="6">'Подача заявки'!$C$8</definedName>
    <definedName name="tmpl_date" localSheetId="3">РИД!$C$8</definedName>
    <definedName name="tmpl_date" localSheetId="5">'Служебное задание'!$C$8</definedName>
    <definedName name="tmpl_version" localSheetId="0">internal!$B$1</definedName>
    <definedName name="tmpl_version" localSheetId="4">Авторы!$C$6</definedName>
    <definedName name="tmpl_version" localSheetId="2">'БД Авторов'!$C$6</definedName>
    <definedName name="tmpl_version" localSheetId="6">'Подача заявки'!$C$6</definedName>
    <definedName name="tmpl_version" localSheetId="3">РИД!$C$6</definedName>
    <definedName name="tmpl_version" localSheetId="5">'Служебное задание'!$C$6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1" i="7" l="1"/>
  <c r="K11" i="7"/>
  <c r="L11" i="7"/>
  <c r="M11" i="7"/>
  <c r="N11" i="7"/>
  <c r="S16" i="1" l="1"/>
  <c r="C8" i="10" l="1"/>
  <c r="C6" i="10"/>
  <c r="C8" i="9"/>
  <c r="C6" i="9"/>
  <c r="C8" i="7"/>
  <c r="C6" i="7"/>
  <c r="C8" i="6"/>
  <c r="C6" i="6"/>
  <c r="C8" i="2"/>
  <c r="C6" i="2"/>
  <c r="C8" i="1"/>
  <c r="C6" i="1"/>
  <c r="C8" i="3"/>
  <c r="C6" i="3"/>
  <c r="L17" i="2" l="1"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J10" i="7" l="1"/>
  <c r="J12" i="7"/>
  <c r="O10" i="7" l="1" a="1"/>
  <c r="O10" i="7" s="1"/>
  <c r="O11" i="7" a="1"/>
  <c r="O11" i="7" s="1"/>
  <c r="K12" i="7"/>
  <c r="L12" i="7"/>
  <c r="M12" i="7"/>
  <c r="N12" i="7"/>
  <c r="N10" i="7"/>
  <c r="M10" i="7"/>
  <c r="L10" i="7"/>
  <c r="K10" i="7"/>
  <c r="O12" i="7" l="1" a="1"/>
  <c r="O12" i="7" s="1"/>
  <c r="L9"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Жуков Вячеслав</author>
  </authors>
  <commentList>
    <comment ref="P9" authorId="0" shapeId="0" xr:uid="{00000000-0006-0000-0200-000001000000}">
      <text>
        <r>
          <rPr>
            <b/>
            <sz val="9"/>
            <color indexed="81"/>
            <rFont val="Tahoma"/>
            <family val="2"/>
            <charset val="204"/>
          </rPr>
          <t>Фамилия автора</t>
        </r>
        <r>
          <rPr>
            <sz val="9"/>
            <color indexed="81"/>
            <rFont val="Tahoma"/>
            <family val="2"/>
            <charset val="204"/>
          </rPr>
          <t xml:space="preserve">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Иванов</t>
        </r>
      </text>
    </comment>
    <comment ref="Q9" authorId="0" shapeId="0" xr:uid="{00000000-0006-0000-0200-000002000000}">
      <text>
        <r>
          <rPr>
            <b/>
            <sz val="9"/>
            <color indexed="81"/>
            <rFont val="Tahoma"/>
            <family val="2"/>
            <charset val="204"/>
          </rPr>
          <t xml:space="preserve">Имя автора
Пример:
</t>
        </r>
        <r>
          <rPr>
            <i/>
            <sz val="9"/>
            <color indexed="81"/>
            <rFont val="Tahoma"/>
            <family val="2"/>
            <charset val="204"/>
          </rPr>
          <t>Иван</t>
        </r>
      </text>
    </comment>
    <comment ref="R9" authorId="0" shapeId="0" xr:uid="{00000000-0006-0000-0200-000003000000}">
      <text>
        <r>
          <rPr>
            <b/>
            <sz val="9"/>
            <color indexed="81"/>
            <rFont val="Tahoma"/>
            <family val="2"/>
            <charset val="204"/>
          </rPr>
          <t>Отчество автора (среднее имя)</t>
        </r>
        <r>
          <rPr>
            <sz val="9"/>
            <color indexed="81"/>
            <rFont val="Tahoma"/>
            <family val="2"/>
            <charset val="204"/>
          </rPr>
          <t xml:space="preserve">
Заполняется, если есть.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Иванович</t>
        </r>
      </text>
    </comment>
    <comment ref="S9" authorId="0" shapeId="0" xr:uid="{00000000-0006-0000-0200-000004000000}">
      <text>
        <r>
          <rPr>
            <b/>
            <sz val="9"/>
            <color indexed="81"/>
            <rFont val="Tahoma"/>
            <family val="2"/>
            <charset val="204"/>
          </rPr>
          <t>Дата рождения автора</t>
        </r>
        <r>
          <rPr>
            <sz val="9"/>
            <color indexed="81"/>
            <rFont val="Tahoma"/>
            <family val="2"/>
            <charset val="204"/>
          </rPr>
          <t xml:space="preserve">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01.01.1970</t>
        </r>
      </text>
    </comment>
    <comment ref="T9" authorId="0" shapeId="0" xr:uid="{00000000-0006-0000-0200-000005000000}">
      <text>
        <r>
          <rPr>
            <b/>
            <sz val="9"/>
            <color indexed="81"/>
            <rFont val="Tahoma"/>
            <family val="2"/>
            <charset val="204"/>
          </rPr>
          <t>Гражданство автора</t>
        </r>
        <r>
          <rPr>
            <sz val="9"/>
            <color indexed="81"/>
            <rFont val="Tahoma"/>
            <family val="2"/>
            <charset val="204"/>
          </rPr>
          <t xml:space="preserve">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Российская Федерация</t>
        </r>
      </text>
    </comment>
    <comment ref="U9" authorId="0" shapeId="0" xr:uid="{00000000-0006-0000-0200-000006000000}">
      <text>
        <r>
          <rPr>
            <b/>
            <sz val="9"/>
            <color indexed="81"/>
            <rFont val="Tahoma"/>
            <family val="2"/>
            <charset val="204"/>
          </rPr>
          <t xml:space="preserve">Адрес регистрации автора
</t>
        </r>
        <r>
          <rPr>
            <sz val="9"/>
            <color indexed="81"/>
            <rFont val="Tahoma"/>
            <family val="2"/>
            <charset val="204"/>
          </rPr>
          <t>Указывается в полном формате: 
Индекс, Страна, Область, Город, Улица, Дом, Корпус, Квартира</t>
        </r>
        <r>
          <rPr>
            <b/>
            <sz val="9"/>
            <color indexed="81"/>
            <rFont val="Tahoma"/>
            <family val="2"/>
            <charset val="204"/>
          </rPr>
          <t xml:space="preserve">
Пример:
</t>
        </r>
        <r>
          <rPr>
            <i/>
            <sz val="9"/>
            <color indexed="81"/>
            <rFont val="Tahoma"/>
            <family val="2"/>
            <charset val="204"/>
          </rPr>
          <t>117198, Россия, г. Москва, ул. Миклухо-Маклая, 6</t>
        </r>
      </text>
    </comment>
    <comment ref="V9" authorId="0" shapeId="0" xr:uid="{00000000-0006-0000-0200-000007000000}">
      <text>
        <r>
          <rPr>
            <b/>
            <sz val="9"/>
            <color indexed="81"/>
            <rFont val="Tahoma"/>
            <family val="2"/>
            <charset val="204"/>
          </rPr>
          <t>Документ, удостоверяющий личность автора</t>
        </r>
        <r>
          <rPr>
            <sz val="9"/>
            <color indexed="81"/>
            <rFont val="Tahoma"/>
            <family val="2"/>
            <charset val="204"/>
          </rPr>
          <t xml:space="preserve">
Паспорт РФ указывается в формате: 
</t>
        </r>
        <r>
          <rPr>
            <b/>
            <sz val="9"/>
            <color indexed="81"/>
            <rFont val="Tahoma"/>
            <family val="2"/>
            <charset val="204"/>
          </rPr>
          <t xml:space="preserve">паспорт РФ </t>
        </r>
        <r>
          <rPr>
            <b/>
            <i/>
            <sz val="9"/>
            <color indexed="81"/>
            <rFont val="Tahoma"/>
            <family val="2"/>
            <charset val="204"/>
          </rPr>
          <t>&lt;серия&gt;</t>
        </r>
        <r>
          <rPr>
            <b/>
            <sz val="9"/>
            <color indexed="81"/>
            <rFont val="Tahoma"/>
            <family val="2"/>
            <charset val="204"/>
          </rPr>
          <t xml:space="preserve"> №</t>
        </r>
        <r>
          <rPr>
            <b/>
            <i/>
            <sz val="9"/>
            <color indexed="81"/>
            <rFont val="Tahoma"/>
            <family val="2"/>
            <charset val="204"/>
          </rPr>
          <t>&lt;номер&gt;</t>
        </r>
        <r>
          <rPr>
            <b/>
            <sz val="9"/>
            <color indexed="81"/>
            <rFont val="Tahoma"/>
            <family val="2"/>
            <charset val="204"/>
          </rPr>
          <t xml:space="preserve">, выдан </t>
        </r>
        <r>
          <rPr>
            <b/>
            <i/>
            <sz val="9"/>
            <color indexed="81"/>
            <rFont val="Tahoma"/>
            <family val="2"/>
            <charset val="204"/>
          </rPr>
          <t>&lt;кем выдан&gt;</t>
        </r>
        <r>
          <rPr>
            <b/>
            <sz val="9"/>
            <color indexed="81"/>
            <rFont val="Tahoma"/>
            <family val="2"/>
            <charset val="204"/>
          </rPr>
          <t xml:space="preserve"> (код подразделения </t>
        </r>
        <r>
          <rPr>
            <b/>
            <i/>
            <sz val="9"/>
            <color indexed="81"/>
            <rFont val="Tahoma"/>
            <family val="2"/>
            <charset val="204"/>
          </rPr>
          <t>&lt;код&gt;</t>
        </r>
        <r>
          <rPr>
            <b/>
            <sz val="9"/>
            <color indexed="81"/>
            <rFont val="Tahoma"/>
            <family val="2"/>
            <charset val="204"/>
          </rPr>
          <t xml:space="preserve">), дата выдачи </t>
        </r>
        <r>
          <rPr>
            <b/>
            <i/>
            <sz val="9"/>
            <color indexed="81"/>
            <rFont val="Tahoma"/>
            <family val="2"/>
            <charset val="204"/>
          </rPr>
          <t>&lt;дата выдачи&gt;</t>
        </r>
        <r>
          <rPr>
            <sz val="9"/>
            <color indexed="81"/>
            <rFont val="Tahoma"/>
            <family val="2"/>
            <charset val="204"/>
          </rPr>
          <t xml:space="preserve">
</t>
        </r>
        <r>
          <rPr>
            <b/>
            <sz val="9"/>
            <color indexed="81"/>
            <rFont val="Tahoma"/>
            <family val="2"/>
            <charset val="204"/>
          </rPr>
          <t>Пример:</t>
        </r>
        <r>
          <rPr>
            <sz val="9"/>
            <color indexed="81"/>
            <rFont val="Tahoma"/>
            <family val="2"/>
            <charset val="204"/>
          </rPr>
          <t xml:space="preserve">
паспорт РФ 4000 №111222, выдан 11 отделом милиции Ленинского р-на гор. Москва (код подразделения 123-123), дата выдачи 01.01.2004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Жуков Вячеслав</author>
  </authors>
  <commentList>
    <comment ref="K16" authorId="0" shapeId="0" xr:uid="{00000000-0006-0000-0300-000001000000}">
      <text>
        <r>
          <rPr>
            <b/>
            <sz val="9"/>
            <color indexed="81"/>
            <rFont val="Tahoma"/>
            <family val="2"/>
            <charset val="204"/>
          </rPr>
          <t xml:space="preserve">Название РИД
</t>
        </r>
        <r>
          <rPr>
            <sz val="9"/>
            <color indexed="81"/>
            <rFont val="Tahoma"/>
            <family val="2"/>
            <charset val="204"/>
          </rPr>
          <t>Желательно написать название "как в предложении", то есть, первая буква - заглавная, а последующие - строчные. Однако допускается использование прописных букв, символов и иных вариантов написания. Точка в конце не ставится.</t>
        </r>
        <r>
          <rPr>
            <b/>
            <sz val="9"/>
            <color indexed="81"/>
            <rFont val="Tahoma"/>
            <family val="2"/>
            <charset val="204"/>
          </rPr>
          <t xml:space="preserve">
Пример: 
</t>
        </r>
        <r>
          <rPr>
            <i/>
            <sz val="9"/>
            <color indexed="81"/>
            <rFont val="Tahoma"/>
            <family val="2"/>
            <charset val="204"/>
          </rPr>
          <t>Программа автоматизированного построения и анализа социального графа SGP</t>
        </r>
        <r>
          <rPr>
            <sz val="9"/>
            <color indexed="81"/>
            <rFont val="Tahoma"/>
            <family val="2"/>
            <charset val="204"/>
          </rPr>
          <t xml:space="preserve">
</t>
        </r>
      </text>
    </comment>
    <comment ref="S16" authorId="0" shapeId="0" xr:uid="{00000000-0006-0000-0300-000002000000}">
      <text>
        <r>
          <rPr>
            <b/>
            <sz val="9"/>
            <color indexed="81"/>
            <rFont val="Tahoma"/>
            <family val="2"/>
            <charset val="204"/>
          </rPr>
          <t xml:space="preserve">Год разработки РИД
</t>
        </r>
        <r>
          <rPr>
            <sz val="9"/>
            <color indexed="81"/>
            <rFont val="Tahoma"/>
            <family val="2"/>
            <charset val="204"/>
          </rPr>
          <t>Устанавливается автоматически как год выполнения сотрудником Служебного Задания.</t>
        </r>
        <r>
          <rPr>
            <b/>
            <sz val="9"/>
            <color indexed="81"/>
            <rFont val="Tahoma"/>
            <family val="2"/>
            <charset val="204"/>
          </rPr>
          <t xml:space="preserve">
Пример: 
</t>
        </r>
        <r>
          <rPr>
            <i/>
            <sz val="9"/>
            <color indexed="81"/>
            <rFont val="Tahoma"/>
            <family val="2"/>
            <charset val="204"/>
          </rPr>
          <t>2019</t>
        </r>
      </text>
    </comment>
    <comment ref="K20" authorId="0" shapeId="0" xr:uid="{00000000-0006-0000-0300-000003000000}">
      <text>
        <r>
          <rPr>
            <b/>
            <sz val="9"/>
            <color indexed="81"/>
            <rFont val="Tahoma"/>
            <family val="2"/>
            <charset val="204"/>
          </rPr>
          <t>Аннотация к РИД</t>
        </r>
        <r>
          <rPr>
            <sz val="9"/>
            <color indexed="81"/>
            <rFont val="Tahoma"/>
            <family val="2"/>
            <charset val="204"/>
          </rPr>
          <t xml:space="preserve">
Аннотация кратко описывает предназначение, состав и функциональность РИД. Аннотация должна быть написана сплошным текстом в соответствии с шаблоном: 
</t>
        </r>
        <r>
          <rPr>
            <b/>
            <sz val="9"/>
            <color indexed="81"/>
            <rFont val="Tahoma"/>
            <family val="2"/>
            <charset val="204"/>
          </rPr>
          <t xml:space="preserve"> Программа предназначена для...
 Программа содержит...
 Программа включает...
 Программа выполняет...</t>
        </r>
        <r>
          <rPr>
            <sz val="9"/>
            <color indexed="81"/>
            <rFont val="Tahoma"/>
            <family val="2"/>
            <charset val="204"/>
          </rPr>
          <t xml:space="preserve">
Каждый пункт должен включать 1-2 предложения. </t>
        </r>
      </text>
    </comment>
    <comment ref="K40" authorId="0" shapeId="0" xr:uid="{00000000-0006-0000-0300-000004000000}">
      <text>
        <r>
          <rPr>
            <b/>
            <sz val="9"/>
            <color indexed="81"/>
            <rFont val="Tahoma"/>
            <family val="2"/>
            <charset val="204"/>
          </rPr>
          <t xml:space="preserve">Индивидуализирующие признаки РИД
</t>
        </r>
        <r>
          <rPr>
            <sz val="9"/>
            <color indexed="81"/>
            <rFont val="Tahoma"/>
            <family val="2"/>
            <charset val="204"/>
          </rPr>
          <t xml:space="preserve">
Индивидуализирующие признаки РИД кратко описывают предназначение РИД. Данный пункт должен состоять из единственного подпункта Аннотации (простая копия без изменений):
</t>
        </r>
        <r>
          <rPr>
            <b/>
            <sz val="9"/>
            <color indexed="81"/>
            <rFont val="Tahoma"/>
            <family val="2"/>
            <charset val="204"/>
          </rPr>
          <t xml:space="preserve"> Программа предназначена для...</t>
        </r>
        <r>
          <rPr>
            <sz val="9"/>
            <color indexed="81"/>
            <rFont val="Tahoma"/>
            <family val="2"/>
            <charset val="204"/>
          </rPr>
          <t xml:space="preserve">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Программа предназначена для автоматизированного сбора данных о пользователе и построения сетевой модели его социального графа в сервисах Vkontakte и Facebook.</t>
        </r>
      </text>
    </comment>
    <comment ref="K48" authorId="0" shapeId="0" xr:uid="{00000000-0006-0000-0300-000005000000}">
      <text>
        <r>
          <rPr>
            <b/>
            <sz val="9"/>
            <color indexed="81"/>
            <rFont val="Tahoma"/>
            <family val="2"/>
            <charset val="204"/>
          </rPr>
          <t>Язык программирования, на котором создавался РИД</t>
        </r>
        <r>
          <rPr>
            <sz val="9"/>
            <color indexed="81"/>
            <rFont val="Tahoma"/>
            <family val="2"/>
            <charset val="204"/>
          </rPr>
          <t xml:space="preserve">
Если язык имеет выраженную версионность или различные диалекты, следует указывать название вместе с версиями и названиями диалектов.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Python 3.4
Visual Prolog 8</t>
        </r>
      </text>
    </comment>
    <comment ref="K51" authorId="0" shapeId="0" xr:uid="{00000000-0006-0000-0300-000006000000}">
      <text>
        <r>
          <rPr>
            <b/>
            <sz val="9"/>
            <color indexed="81"/>
            <rFont val="Tahoma"/>
            <family val="2"/>
            <charset val="204"/>
          </rPr>
          <t>Файл с исходным кодом РИД</t>
        </r>
        <r>
          <rPr>
            <sz val="9"/>
            <color indexed="81"/>
            <rFont val="Tahoma"/>
            <family val="2"/>
            <charset val="204"/>
          </rPr>
          <t xml:space="preserve">
Код должен быть представлен в файле в формате Word. Рекомендуется использовать шаблон </t>
        </r>
        <r>
          <rPr>
            <b/>
            <sz val="9"/>
            <color indexed="81"/>
            <rFont val="Tahoma"/>
            <family val="2"/>
            <charset val="204"/>
          </rPr>
          <t>RDG_Code_Template</t>
        </r>
        <r>
          <rPr>
            <sz val="9"/>
            <color indexed="81"/>
            <rFont val="Tahoma"/>
            <family val="2"/>
            <charset val="204"/>
          </rPr>
          <t xml:space="preserve"> для создания текстового файла с кодом.</t>
        </r>
      </text>
    </comment>
    <comment ref="K54" authorId="0" shapeId="0" xr:uid="{00000000-0006-0000-0300-000007000000}">
      <text>
        <r>
          <rPr>
            <b/>
            <sz val="9"/>
            <color indexed="81"/>
            <rFont val="Tahoma"/>
            <family val="2"/>
            <charset val="204"/>
          </rPr>
          <t>Объем программного кода</t>
        </r>
        <r>
          <rPr>
            <sz val="9"/>
            <color indexed="81"/>
            <rFont val="Tahoma"/>
            <family val="2"/>
            <charset val="204"/>
          </rPr>
          <t xml:space="preserve">
Объем файла, содержащий титульный лист и весь программный код РИД, который впоследствии будет записан на машиночитаемый носитель. Можно оценить в килобайтах как 
</t>
        </r>
        <r>
          <rPr>
            <b/>
            <sz val="9"/>
            <color indexed="81"/>
            <rFont val="Tahoma"/>
            <family val="2"/>
            <charset val="204"/>
          </rPr>
          <t xml:space="preserve"> 5 * объем_кода_в_Word_в_КБ + 68</t>
        </r>
        <r>
          <rPr>
            <sz val="9"/>
            <color indexed="81"/>
            <rFont val="Tahoma"/>
            <family val="2"/>
            <charset val="204"/>
          </rPr>
          <t xml:space="preserve">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356 KB
1,6 MB</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Жуков Вячеслав</author>
  </authors>
  <commentList>
    <comment ref="K8" authorId="0" shapeId="0" xr:uid="{00000000-0006-0000-0400-000001000000}">
      <text>
        <r>
          <rPr>
            <b/>
            <sz val="9"/>
            <color indexed="81"/>
            <rFont val="Tahoma"/>
            <family val="2"/>
            <charset val="204"/>
          </rPr>
          <t>Структурное подразделение, в рамках которого разрабатывался РИД</t>
        </r>
        <r>
          <rPr>
            <sz val="9"/>
            <color indexed="81"/>
            <rFont val="Tahoma"/>
            <family val="2"/>
            <charset val="204"/>
          </rPr>
          <t xml:space="preserve">
Название структурного подразделения (депатамента) в соответствии с организационной структурой.
</t>
        </r>
        <r>
          <rPr>
            <b/>
            <sz val="9"/>
            <color indexed="81"/>
            <rFont val="Tahoma"/>
            <family val="2"/>
            <charset val="204"/>
          </rPr>
          <t xml:space="preserve">Пример: </t>
        </r>
        <r>
          <rPr>
            <sz val="9"/>
            <color indexed="81"/>
            <rFont val="Tahoma"/>
            <family val="2"/>
            <charset val="204"/>
          </rPr>
          <t xml:space="preserve">
</t>
        </r>
        <r>
          <rPr>
            <i/>
            <sz val="9"/>
            <color indexed="81"/>
            <rFont val="Tahoma"/>
            <family val="2"/>
            <charset val="204"/>
          </rPr>
          <t>кафедра информационных технологий ФФМиЕН</t>
        </r>
      </text>
    </comment>
    <comment ref="K12" authorId="0" shapeId="0" xr:uid="{00000000-0006-0000-0400-000002000000}">
      <text>
        <r>
          <rPr>
            <b/>
            <sz val="9"/>
            <color indexed="81"/>
            <rFont val="Tahoma"/>
            <family val="2"/>
            <charset val="204"/>
          </rPr>
          <t>Контакты авторов (телефоны)</t>
        </r>
        <r>
          <rPr>
            <sz val="9"/>
            <color indexed="81"/>
            <rFont val="Tahoma"/>
            <family val="2"/>
            <charset val="204"/>
          </rPr>
          <t xml:space="preserve">
Один или несколько телефонов авторов, через запятую, в формате 
</t>
        </r>
        <r>
          <rPr>
            <b/>
            <sz val="9"/>
            <color indexed="81"/>
            <rFont val="Tahoma"/>
            <family val="2"/>
            <charset val="204"/>
          </rPr>
          <t xml:space="preserve"> +7 (916) 111-11-11</t>
        </r>
        <r>
          <rPr>
            <sz val="9"/>
            <color indexed="81"/>
            <rFont val="Tahoma"/>
            <family val="2"/>
            <charset val="204"/>
          </rPr>
          <t xml:space="preserve">
Чтобы Excel не предупреждал о "сохрании чисел как текста", ввод следует начинать с символа апостроф </t>
        </r>
        <r>
          <rPr>
            <b/>
            <sz val="9"/>
            <color indexed="81"/>
            <rFont val="Tahoma"/>
            <family val="2"/>
            <charset val="204"/>
          </rPr>
          <t>'</t>
        </r>
        <r>
          <rPr>
            <sz val="9"/>
            <color indexed="81"/>
            <rFont val="Tahoma"/>
            <family val="2"/>
            <charset val="204"/>
          </rPr>
          <t xml:space="preserve">
</t>
        </r>
        <r>
          <rPr>
            <b/>
            <sz val="9"/>
            <color indexed="81"/>
            <rFont val="Tahoma"/>
            <family val="2"/>
            <charset val="204"/>
          </rPr>
          <t xml:space="preserve">Пример: </t>
        </r>
        <r>
          <rPr>
            <sz val="9"/>
            <color indexed="81"/>
            <rFont val="Tahoma"/>
            <family val="2"/>
            <charset val="204"/>
          </rPr>
          <t xml:space="preserve">
</t>
        </r>
        <r>
          <rPr>
            <i/>
            <sz val="9"/>
            <color indexed="81"/>
            <rFont val="Tahoma"/>
            <family val="2"/>
            <charset val="204"/>
          </rPr>
          <t>'+7 (916) 111-22-33, +7 (910) 444-55-66</t>
        </r>
        <r>
          <rPr>
            <sz val="9"/>
            <color indexed="81"/>
            <rFont val="Tahoma"/>
            <family val="2"/>
            <charset val="204"/>
          </rPr>
          <t xml:space="preserve"> </t>
        </r>
      </text>
    </comment>
    <comment ref="J16" authorId="0" shapeId="0" xr:uid="{00000000-0006-0000-0400-000003000000}">
      <text>
        <r>
          <rPr>
            <b/>
            <sz val="9"/>
            <color indexed="81"/>
            <rFont val="Tahoma"/>
            <family val="2"/>
            <charset val="204"/>
          </rPr>
          <t>Список авторов РИД</t>
        </r>
        <r>
          <rPr>
            <sz val="9"/>
            <color indexed="81"/>
            <rFont val="Tahoma"/>
            <family val="2"/>
            <charset val="204"/>
          </rPr>
          <t xml:space="preserve">
Авторы выбираются из выпадающего списка, который формируется на основе таблицы </t>
        </r>
        <r>
          <rPr>
            <b/>
            <sz val="9"/>
            <color indexed="81"/>
            <rFont val="Tahoma"/>
            <family val="2"/>
            <charset val="204"/>
          </rPr>
          <t>База Данных Авторов</t>
        </r>
        <r>
          <rPr>
            <sz val="9"/>
            <color indexed="81"/>
            <rFont val="Tahoma"/>
            <family val="2"/>
            <charset val="204"/>
          </rPr>
          <t xml:space="preserve">. Поэтому предварительно нужно занести всю информацию об авторах в БД Авторов.
Последовательность авторов должна соответствовать их вкладу в создание РИД. Первым (сверху) идет автор, внесший наибольший вклад, и так далее.
Для удаления авторов из этой таблицы - просто выделите всю строку (поля Автор и Творческий вклад) и нажмите </t>
        </r>
        <r>
          <rPr>
            <b/>
            <sz val="9"/>
            <color indexed="81"/>
            <rFont val="Tahoma"/>
            <family val="2"/>
            <charset val="204"/>
          </rPr>
          <t>Delete</t>
        </r>
        <r>
          <rPr>
            <sz val="9"/>
            <color indexed="81"/>
            <rFont val="Tahoma"/>
            <family val="2"/>
            <charset val="204"/>
          </rPr>
          <t>. Пустые строки между авторами в таблице игнорируются.
Допускается указание не более 14 авторов.</t>
        </r>
      </text>
    </comment>
    <comment ref="K16" authorId="0" shapeId="0" xr:uid="{00000000-0006-0000-0400-000004000000}">
      <text>
        <r>
          <rPr>
            <b/>
            <sz val="9"/>
            <color indexed="81"/>
            <rFont val="Tahoma"/>
            <family val="2"/>
            <charset val="204"/>
          </rPr>
          <t>Творческий вклад авторов РИД</t>
        </r>
        <r>
          <rPr>
            <sz val="9"/>
            <color indexed="81"/>
            <rFont val="Tahoma"/>
            <family val="2"/>
            <charset val="204"/>
          </rPr>
          <t xml:space="preserve">
Для каждого автора описывается его творческий вклад в разработку РИД. Перечень пунктов указывается через запятую. 
В совокупности, описание творческого вклада должно включать как минимум следующие пункты:
</t>
        </r>
        <r>
          <rPr>
            <b/>
            <sz val="9"/>
            <color indexed="81"/>
            <rFont val="Tahoma"/>
            <family val="2"/>
            <charset val="204"/>
          </rPr>
          <t xml:space="preserve">  постановка задачи
  разработка алгоритма работы программы
  написание программного кода</t>
        </r>
        <r>
          <rPr>
            <sz val="9"/>
            <color indexed="81"/>
            <rFont val="Tahoma"/>
            <family val="2"/>
            <charset val="204"/>
          </rPr>
          <t xml:space="preserve">
Максимальная длина - 150 символов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Постановка задачи, анализ ппредметной области, разработка алгоритма работы программы, написание программного кода, проведение тестовых испытаний</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Жуков Вячеслав</author>
  </authors>
  <commentList>
    <comment ref="L8" authorId="0" shapeId="0" xr:uid="{00000000-0006-0000-0500-000001000000}">
      <text>
        <r>
          <rPr>
            <b/>
            <sz val="9"/>
            <color indexed="81"/>
            <rFont val="Tahoma"/>
            <family val="2"/>
            <charset val="204"/>
          </rPr>
          <t>Дата получения Служебного Задания / Дата начала работы над РИД</t>
        </r>
        <r>
          <rPr>
            <sz val="9"/>
            <color indexed="81"/>
            <rFont val="Tahoma"/>
            <family val="2"/>
            <charset val="204"/>
          </rPr>
          <t xml:space="preserve">
Рабочий день. Должен предшествовать дате выполнения СЗ.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11.02.2019</t>
        </r>
      </text>
    </comment>
    <comment ref="O8" authorId="0" shapeId="0" xr:uid="{00000000-0006-0000-0500-000002000000}">
      <text>
        <r>
          <rPr>
            <b/>
            <sz val="9"/>
            <color indexed="81"/>
            <rFont val="Tahoma"/>
            <family val="2"/>
            <charset val="204"/>
          </rPr>
          <t>Дата выполнения Служебного Задания / Дата окончания работы над РИД</t>
        </r>
        <r>
          <rPr>
            <sz val="9"/>
            <color indexed="81"/>
            <rFont val="Tahoma"/>
            <family val="2"/>
            <charset val="204"/>
          </rPr>
          <t xml:space="preserve">
Рабочий день. Должен предшествовать текущему моменту и быть после даты получения СЗ. 
Обычно устанавливается датой, как можно ближней к текущему моменту (дате подачи документов на регистрацию), например, вчерашним или позавчерашним днем.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30.05.2019</t>
        </r>
      </text>
    </comment>
    <comment ref="M12" authorId="0" shapeId="0" xr:uid="{00000000-0006-0000-0500-000003000000}">
      <text>
        <r>
          <rPr>
            <b/>
            <sz val="9"/>
            <color indexed="81"/>
            <rFont val="Tahoma"/>
            <family val="2"/>
            <charset val="204"/>
          </rPr>
          <t>Оценка трудозатратности выполнения Служебного Задания</t>
        </r>
        <r>
          <rPr>
            <sz val="9"/>
            <color indexed="81"/>
            <rFont val="Tahoma"/>
            <family val="2"/>
            <charset val="204"/>
          </rPr>
          <t xml:space="preserve">
Желательно указывать в рабочих часах.
Допускается указание в неделях/месяцах, но тогда это значение должно соответствовать разности между датами выполнения и получения СЗ.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80 часов
3,5 месяца</t>
        </r>
      </text>
    </comment>
    <comment ref="L16" authorId="0" shapeId="0" xr:uid="{00000000-0006-0000-0500-000004000000}">
      <text>
        <r>
          <rPr>
            <b/>
            <sz val="9"/>
            <color indexed="81"/>
            <rFont val="Tahoma"/>
            <family val="2"/>
            <charset val="204"/>
          </rPr>
          <t>Сотрудник РУДН, ответственный за выполнение СЗ</t>
        </r>
        <r>
          <rPr>
            <sz val="9"/>
            <color indexed="81"/>
            <rFont val="Tahoma"/>
            <family val="2"/>
            <charset val="204"/>
          </rPr>
          <t xml:space="preserve">
Выбирается из выпадающего списка авторов РИД, указанных в разделе Авторы.</t>
        </r>
      </text>
    </comment>
    <comment ref="L20" authorId="0" shapeId="0" xr:uid="{00000000-0006-0000-0500-000005000000}">
      <text>
        <r>
          <rPr>
            <b/>
            <sz val="9"/>
            <color indexed="81"/>
            <rFont val="Tahoma"/>
            <family val="2"/>
            <charset val="204"/>
          </rPr>
          <t xml:space="preserve">Имя сотрудника РУДН, ответственного за выполнение СЗ в </t>
        </r>
        <r>
          <rPr>
            <b/>
            <u/>
            <sz val="9"/>
            <color indexed="81"/>
            <rFont val="Tahoma"/>
            <family val="2"/>
            <charset val="204"/>
          </rPr>
          <t>дательном падеже</t>
        </r>
        <r>
          <rPr>
            <sz val="9"/>
            <color indexed="81"/>
            <rFont val="Tahoma"/>
            <family val="2"/>
            <charset val="204"/>
          </rPr>
          <t xml:space="preserve">
Должно соответствовать имени человека, выбранному как Ответственный Исполнитель
Вопрос: кому?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Жукову Вячеславу Владимировичу</t>
        </r>
      </text>
    </comment>
    <comment ref="L24" authorId="0" shapeId="0" xr:uid="{00000000-0006-0000-0500-000006000000}">
      <text>
        <r>
          <rPr>
            <b/>
            <sz val="9"/>
            <color indexed="81"/>
            <rFont val="Tahoma"/>
            <family val="2"/>
            <charset val="204"/>
          </rPr>
          <t xml:space="preserve">Имя сотрудника РУДН, ответственного за выполнение СЗ, в </t>
        </r>
        <r>
          <rPr>
            <b/>
            <u/>
            <sz val="9"/>
            <color indexed="81"/>
            <rFont val="Tahoma"/>
            <family val="2"/>
            <charset val="204"/>
          </rPr>
          <t>творительном падеже</t>
        </r>
        <r>
          <rPr>
            <sz val="9"/>
            <color indexed="81"/>
            <rFont val="Tahoma"/>
            <family val="2"/>
            <charset val="204"/>
          </rPr>
          <t xml:space="preserve">
Должно соответствовать имени человека, выбранному как Ответственный Исполнитель
Вопрос: кем?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Жуковым Вячеславом Владимировичем</t>
        </r>
      </text>
    </comment>
    <comment ref="L28" authorId="0" shapeId="0" xr:uid="{00000000-0006-0000-0500-000007000000}">
      <text>
        <r>
          <rPr>
            <b/>
            <sz val="9"/>
            <color indexed="81"/>
            <rFont val="Tahoma"/>
            <family val="2"/>
            <charset val="204"/>
          </rPr>
          <t>Должность сотрудника РУДН, ответственного за выполнение СЗ, в именительном падеже</t>
        </r>
        <r>
          <rPr>
            <sz val="9"/>
            <color indexed="81"/>
            <rFont val="Tahoma"/>
            <family val="2"/>
            <charset val="204"/>
          </rPr>
          <t xml:space="preserve">
Должна соответствовать официальной занимаемой позиции Ответственного Исполнителя.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Ассистент кафедры информационных технологий ФФМиЕН</t>
        </r>
      </text>
    </comment>
    <comment ref="L32" authorId="0" shapeId="0" xr:uid="{00000000-0006-0000-0500-000008000000}">
      <text>
        <r>
          <rPr>
            <b/>
            <sz val="9"/>
            <color indexed="81"/>
            <rFont val="Tahoma"/>
            <family val="2"/>
            <charset val="204"/>
          </rPr>
          <t>Перечень требований к РИД</t>
        </r>
        <r>
          <rPr>
            <sz val="9"/>
            <color indexed="81"/>
            <rFont val="Tahoma"/>
            <family val="2"/>
            <charset val="204"/>
          </rPr>
          <t xml:space="preserve">
Обычно указывается перечень требуемых функциональных (и нефункциональных) возможностей создаваемой программы. 
В каждой ячейке указывается отдельный пункт. Точки и точки с запятой в конце ставить не нужно. Для удаления - выделите пункт и нажмимте </t>
        </r>
        <r>
          <rPr>
            <b/>
            <sz val="9"/>
            <color indexed="81"/>
            <rFont val="Tahoma"/>
            <family val="2"/>
            <charset val="204"/>
          </rPr>
          <t>Delete</t>
        </r>
        <r>
          <rPr>
            <sz val="9"/>
            <color indexed="81"/>
            <rFont val="Tahoma"/>
            <family val="2"/>
            <charset val="204"/>
          </rPr>
          <t xml:space="preserve">. Пустые ячейки игнорируются.
Не более 16 пунктов. Обычно требования описываются в 3-6 пунктах.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Программа для ЭВМ должна иметь возможность получать данные о пользователях и сообществах с официальных серверов Vkontakte с использованием VK API</t>
        </r>
      </text>
    </comment>
    <comment ref="O32" authorId="0" shapeId="0" xr:uid="{00000000-0006-0000-0500-000009000000}">
      <text>
        <r>
          <rPr>
            <b/>
            <sz val="9"/>
            <color indexed="81"/>
            <rFont val="Tahoma"/>
            <family val="2"/>
            <charset val="204"/>
          </rPr>
          <t>Перечень основных характеристик к РИД</t>
        </r>
        <r>
          <rPr>
            <sz val="9"/>
            <color indexed="81"/>
            <rFont val="Tahoma"/>
            <family val="2"/>
            <charset val="204"/>
          </rPr>
          <t xml:space="preserve">
Представляет собой перечень требований к РИД, описанных в совершенной форме. 
Количество пунктов обычно соответствует количеству требований к РИД. 
В каждой ячейке указывается отдельный пункт. Точки и точки с запятой в конце ставить не нужно. Для удаления - выделите пункт и нажмимте </t>
        </r>
        <r>
          <rPr>
            <b/>
            <sz val="9"/>
            <color indexed="81"/>
            <rFont val="Tahoma"/>
            <family val="2"/>
            <charset val="204"/>
          </rPr>
          <t>Delete</t>
        </r>
        <r>
          <rPr>
            <sz val="9"/>
            <color indexed="81"/>
            <rFont val="Tahoma"/>
            <family val="2"/>
            <charset val="204"/>
          </rPr>
          <t xml:space="preserve">. Пустые ячейки игнорируются.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 xml:space="preserve">Программа для ЭВМ </t>
        </r>
        <r>
          <rPr>
            <b/>
            <i/>
            <sz val="9"/>
            <color indexed="81"/>
            <rFont val="Tahoma"/>
            <family val="2"/>
            <charset val="204"/>
          </rPr>
          <t>имеет возможность</t>
        </r>
        <r>
          <rPr>
            <i/>
            <sz val="9"/>
            <color indexed="81"/>
            <rFont val="Tahoma"/>
            <family val="2"/>
            <charset val="204"/>
          </rPr>
          <t xml:space="preserve"> получать данные о пользователях и сообществах с официальных серверов Vkontakte с использованием VK API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Жуков Вячеслав</author>
  </authors>
  <commentList>
    <comment ref="L9" authorId="0" shapeId="0" xr:uid="{00000000-0006-0000-0600-000001000000}">
      <text>
        <r>
          <rPr>
            <b/>
            <sz val="9"/>
            <color indexed="81"/>
            <rFont val="Tahoma"/>
            <family val="2"/>
            <charset val="204"/>
          </rPr>
          <t>Дата подачи документов на регистрацию</t>
        </r>
        <r>
          <rPr>
            <sz val="9"/>
            <color indexed="81"/>
            <rFont val="Tahoma"/>
            <family val="2"/>
            <charset val="204"/>
          </rPr>
          <t xml:space="preserve">
Проставляется в документах. 
По умолчанию - ближайший рабочий день. 
</t>
        </r>
        <r>
          <rPr>
            <b/>
            <sz val="9"/>
            <color indexed="81"/>
            <rFont val="Tahoma"/>
            <family val="2"/>
            <charset val="204"/>
          </rPr>
          <t xml:space="preserve">На текущий момент данное поле не используется. </t>
        </r>
        <r>
          <rPr>
            <sz val="9"/>
            <color indexed="81"/>
            <rFont val="Tahoma"/>
            <family val="2"/>
            <charset val="204"/>
          </rPr>
          <t xml:space="preserve">
</t>
        </r>
        <r>
          <rPr>
            <b/>
            <sz val="9"/>
            <color indexed="81"/>
            <rFont val="Tahoma"/>
            <family val="2"/>
            <charset val="204"/>
          </rPr>
          <t>Пример:</t>
        </r>
        <r>
          <rPr>
            <sz val="9"/>
            <color indexed="81"/>
            <rFont val="Tahoma"/>
            <family val="2"/>
            <charset val="204"/>
          </rPr>
          <t xml:space="preserve">
</t>
        </r>
        <r>
          <rPr>
            <i/>
            <sz val="9"/>
            <color indexed="81"/>
            <rFont val="Tahoma"/>
            <family val="2"/>
            <charset val="204"/>
          </rPr>
          <t>03.06.2019</t>
        </r>
      </text>
    </comment>
    <comment ref="L13" authorId="0" shapeId="0" xr:uid="{00000000-0006-0000-0600-000002000000}">
      <text>
        <r>
          <rPr>
            <b/>
            <sz val="9"/>
            <color indexed="81"/>
            <rFont val="Tahoma"/>
            <family val="2"/>
            <charset val="204"/>
          </rPr>
          <t>Ответственный за подачу документов в бумажном виде</t>
        </r>
        <r>
          <rPr>
            <sz val="9"/>
            <color indexed="81"/>
            <rFont val="Tahoma"/>
            <family val="2"/>
            <charset val="204"/>
          </rPr>
          <t xml:space="preserve">
Выбирается из выпадающего списка авторов РИД. Не обязательно является главным автором или сотрудником РУДН. </t>
        </r>
      </text>
    </comment>
  </commentList>
</comments>
</file>

<file path=xl/sharedStrings.xml><?xml version="1.0" encoding="utf-8"?>
<sst xmlns="http://schemas.openxmlformats.org/spreadsheetml/2006/main" count="176" uniqueCount="145">
  <si>
    <t>Информация о Результате Интеллектуальной Деятельности (РИД)</t>
  </si>
  <si>
    <t>Информация об Авторах РИД</t>
  </si>
  <si>
    <t>Михайлов Юрий Александрович</t>
  </si>
  <si>
    <t>Название</t>
  </si>
  <si>
    <t>Год</t>
  </si>
  <si>
    <t>Аннотация</t>
  </si>
  <si>
    <t xml:space="preserve">Программа предназначена для решения задачи покрытия гиперграфа звёздами. Программа принимает в качестве входных данных объекты класса «гиперграф» (HGraph) сторонней библиотеки hgraphs. Поддерживается механизм импорта этих объектов из бинарных файлов. Возможно создание случайных гиперграфов для оценки вычислительной сложности используемых алгоритмов. Для решения поставленной задачи возможно использование различных алгоритмов, содержащихся в библиотеке hgraphs. В результате работы программы генерируется список всех возможных покрытий гиперграфа звёздами с возможным их выводом в бинарный файл. </t>
  </si>
  <si>
    <t>Индивидуализирующие признаки</t>
  </si>
  <si>
    <t>Язык программирования</t>
  </si>
  <si>
    <t>Программный код</t>
  </si>
  <si>
    <t>Объем программного кода</t>
  </si>
  <si>
    <t>Python 3.4</t>
  </si>
  <si>
    <t>2,5 kb</t>
  </si>
  <si>
    <t xml:space="preserve">Программа предназначена для решения задачи покрытия гиперграфа звёздами. </t>
  </si>
  <si>
    <t>Фамилия</t>
  </si>
  <si>
    <t>Имя</t>
  </si>
  <si>
    <t>Отчество</t>
  </si>
  <si>
    <t>Жуков</t>
  </si>
  <si>
    <t>Вячеслав</t>
  </si>
  <si>
    <t>Владимирович</t>
  </si>
  <si>
    <t>Михайлов</t>
  </si>
  <si>
    <t>Юрий</t>
  </si>
  <si>
    <t>Александрович</t>
  </si>
  <si>
    <t>Осипова</t>
  </si>
  <si>
    <t>Елизавета</t>
  </si>
  <si>
    <t>Евгеньевна</t>
  </si>
  <si>
    <t>Дата рождения</t>
  </si>
  <si>
    <t>Гражданство</t>
  </si>
  <si>
    <t>Российская Федерация</t>
  </si>
  <si>
    <t>Творческий вклад</t>
  </si>
  <si>
    <t>Жуков Вячеслав Владимирович</t>
  </si>
  <si>
    <t>ДР_число</t>
  </si>
  <si>
    <t>ДР_месяц</t>
  </si>
  <si>
    <t>ДР_год</t>
  </si>
  <si>
    <t>Адрес</t>
  </si>
  <si>
    <t>111111, Россия, г. Москва, Ленинский пр-т, A-B-C</t>
  </si>
  <si>
    <t>111111, Россия, г. Москва, Ленинский пр-т, D-E-F</t>
  </si>
  <si>
    <t>111111, Россия, г. Москва, Ленинский пр-т, G-H-I</t>
  </si>
  <si>
    <t>Документ, удостоверяющий личность</t>
  </si>
  <si>
    <t>паспорт РФ 4000 №111222, выдан 11 отделом милиции Ленинского р-на гор. Москва (код подразделения 123-123), дата выдачи 01.01.2004</t>
  </si>
  <si>
    <t>паспорт РФ 4001 №111223, выдан 11 отделом милиции Ленинского р-на гор. Москва (код подразделения 123-123), дата выдачи 01.01.2011</t>
  </si>
  <si>
    <t>паспорт РФ 4002 №111224, выдан 11 отделом милиции Ленинского р-на гор. Москва (код подразделения 123-123), дата выдачи 01.01.2011</t>
  </si>
  <si>
    <t>Структурное подразделение</t>
  </si>
  <si>
    <t>Контакты авторов</t>
  </si>
  <si>
    <t>+7 (977) 804-97-08, +7 (916) 655-51-09</t>
  </si>
  <si>
    <t>Реализация задачи</t>
  </si>
  <si>
    <t>Информация о Служебном Задании</t>
  </si>
  <si>
    <t>Дата получения СЗ</t>
  </si>
  <si>
    <t>Дата выполнения СЗ</t>
  </si>
  <si>
    <t>Оценка трудозатратности</t>
  </si>
  <si>
    <t xml:space="preserve">служебное задание было выполнено за </t>
  </si>
  <si>
    <t>Ответственный исполнитель</t>
  </si>
  <si>
    <t>Перечень требований к РИД</t>
  </si>
  <si>
    <t>Содержание</t>
  </si>
  <si>
    <t>Предоставлять возможность импорта и экспорта объектов программы в виде бинарных файлов сериализации</t>
  </si>
  <si>
    <t>Поддерживать возможность генерации случайных гиперграфов для тестирования вычислительной сложности используемых алгоритмов</t>
  </si>
  <si>
    <t>Перечень основных характеристик РИД</t>
  </si>
  <si>
    <t>Дата подачи документов на регистрацию</t>
  </si>
  <si>
    <t>Ответственный за подачу документов</t>
  </si>
  <si>
    <t>Версия шаблона</t>
  </si>
  <si>
    <t>Дата обновления</t>
  </si>
  <si>
    <t>ФИО_пол</t>
  </si>
  <si>
    <t>ФИО_кр</t>
  </si>
  <si>
    <t>names_alphabetically</t>
  </si>
  <si>
    <t>Дата обновления шаблона</t>
  </si>
  <si>
    <t>Результат проверки системных файлов после старта программы</t>
  </si>
  <si>
    <t>Программа для ЭВМ имеет возможность находить все возможные покрытия гиперграфа звёздами</t>
  </si>
  <si>
    <t>Программа предоставляет возможность импорта и экспорта объектов программы в виде бинарных файлов сериализации pickle</t>
  </si>
  <si>
    <t>Программа поддерживает возможность генерации случайных гиперграфов для тестирования вычислительной сложности используемых алгоритмов</t>
  </si>
  <si>
    <t>Последняя папка, в которой был выбран файл кода</t>
  </si>
  <si>
    <t>Документы успешно созданы</t>
  </si>
  <si>
    <t>Расположение</t>
  </si>
  <si>
    <t>Документы находятся в папке</t>
  </si>
  <si>
    <t>PDF-версии документов расположены в папке</t>
  </si>
  <si>
    <t>Дальнейшие шаги</t>
  </si>
  <si>
    <t>Проверьте правильность документов</t>
  </si>
  <si>
    <t>Отправьте PDF-версии документов единым архивом ответственному за регистрацию</t>
  </si>
  <si>
    <t>Кому:</t>
  </si>
  <si>
    <t>E-mail:</t>
  </si>
  <si>
    <t>Тема письма:</t>
  </si>
  <si>
    <t>Елапов Александр Александрович</t>
  </si>
  <si>
    <t>elapov_aa@pfur.ru</t>
  </si>
  <si>
    <t>Регистрация ПрЭВМ Михайлов</t>
  </si>
  <si>
    <t>Контакт:</t>
  </si>
  <si>
    <t>+7 (916) 090-96-15</t>
  </si>
  <si>
    <t>После подтверждения правильности заполнения всех документов</t>
  </si>
  <si>
    <t>Подготовьте печатные версии следующих документов</t>
  </si>
  <si>
    <t>1.</t>
  </si>
  <si>
    <t>Тип печати</t>
  </si>
  <si>
    <t>Титульный лист для листинга</t>
  </si>
  <si>
    <t>Двусторонняя</t>
  </si>
  <si>
    <t>1 копия</t>
  </si>
  <si>
    <t>2.</t>
  </si>
  <si>
    <t>Подпишите документы</t>
  </si>
  <si>
    <t>3.</t>
  </si>
  <si>
    <t xml:space="preserve">Формат: </t>
  </si>
  <si>
    <t>pdf</t>
  </si>
  <si>
    <t>Передайте подписанные документы и машиночитаемый носитель ответственному за регистрацию:</t>
  </si>
  <si>
    <t>Имя:</t>
  </si>
  <si>
    <t>Адрес:</t>
  </si>
  <si>
    <t>Кабинет:</t>
  </si>
  <si>
    <t>Заявление РП</t>
  </si>
  <si>
    <t>Заявление РП (доп)</t>
  </si>
  <si>
    <t>Согласие автора на указание сведений об авторе</t>
  </si>
  <si>
    <t>Односторонняя</t>
  </si>
  <si>
    <t>Согласие на обработку персональных данных</t>
  </si>
  <si>
    <t>Реферат программы</t>
  </si>
  <si>
    <t>2 копии</t>
  </si>
  <si>
    <t>Служебное задание</t>
  </si>
  <si>
    <t>Отчет о выполнении СЗ</t>
  </si>
  <si>
    <t>Уведомление заявка</t>
  </si>
  <si>
    <t>Москва, ул. Орджоникидзе, д. 3, стр. 4</t>
  </si>
  <si>
    <t>НЕКИЙ</t>
  </si>
  <si>
    <t>Осипова Елизавета Евгеньевна</t>
  </si>
  <si>
    <t>Анализ задачи и ее формулирование</t>
  </si>
  <si>
    <t>Программа для ЭВМ должна иметь возможность находить все возможные покрытия гиперграфа звёздами</t>
  </si>
  <si>
    <t>authors_proper_order</t>
  </si>
  <si>
    <t>Тип</t>
  </si>
  <si>
    <t>База Данных Авторов</t>
  </si>
  <si>
    <t>Настройки</t>
  </si>
  <si>
    <t>3.1.</t>
  </si>
  <si>
    <t>3.2.</t>
  </si>
  <si>
    <t>3.3.</t>
  </si>
  <si>
    <t>4.</t>
  </si>
  <si>
    <r>
      <t xml:space="preserve">Запишите следующий файл на диск </t>
    </r>
    <r>
      <rPr>
        <b/>
        <i/>
        <sz val="11"/>
        <rFont val="Calibri"/>
        <family val="2"/>
        <charset val="204"/>
        <scheme val="minor"/>
      </rPr>
      <t>однократной записи (CD-R)</t>
    </r>
  </si>
  <si>
    <t>Файл:</t>
  </si>
  <si>
    <t>Кол-во копий</t>
  </si>
  <si>
    <t>Информация о Подаче документов</t>
  </si>
  <si>
    <t>Постаноылвап орлдыва рплдоыва прлодыварпдлыова рпывап ывла прлд</t>
  </si>
  <si>
    <t>F:\Documents\Работа\Университет\Документы\Регистрация программ\RDG\code.docx</t>
  </si>
  <si>
    <t>F:\Documents\Работа\Университет\Документы\Регистрация программ\RDG</t>
  </si>
  <si>
    <t>РАЗДЕЛ ПОКА НЕДОСТУПЕН ДЛЯ ИСПОЛЬЗОВАНИЯ</t>
  </si>
  <si>
    <t xml:space="preserve">80 часов </t>
  </si>
  <si>
    <t>F:\Documents\Работа\Университет\Документы\Регистрация программ\RDG/documents/2019-06-03_ПрЭВМ_Некая супер-пупер программа для р/</t>
  </si>
  <si>
    <t>F:\Documents\Работа\Университет\Документы\Регистрация программ\RDG/documents/2019-06-03_ПрЭВМ_Некая супер-пупер программа для р/pdf</t>
  </si>
  <si>
    <t>Разработка программного комплекса для подготовки документов в патентный отдел</t>
  </si>
  <si>
    <t>каф. Математического моделирования и искуственного интеллекта</t>
  </si>
  <si>
    <t>И.О. заведующий кафедрой</t>
  </si>
  <si>
    <t>Малых Михаил Дмитриевич</t>
  </si>
  <si>
    <t>Имя И.О в дательном падеже</t>
  </si>
  <si>
    <t>Малыху Михаилу Дмитриевичу</t>
  </si>
  <si>
    <t>Имя И.О в творительном падеже</t>
  </si>
  <si>
    <t xml:space="preserve">Малыхым Михаилом Дмитриевичем </t>
  </si>
  <si>
    <t>Должность И.О</t>
  </si>
  <si>
    <t>доцент кафедры математического моделирования и искусственного интеллекта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</si>
</sst>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1"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3"/>
      <color theme="1"/>
      <name val="Times New Roman"/>
      <family val="1"/>
      <charset val="204"/>
    </font>
    <font>
      <sz val="13"/>
      <color theme="1"/>
      <name val="Calibri"/>
      <family val="2"/>
      <scheme val="minor"/>
    </font>
    <font>
      <b/>
      <sz val="11"/>
      <color theme="1"/>
      <name val="Calibri"/>
      <family val="2"/>
      <charset val="204"/>
      <scheme val="minor"/>
    </font>
    <font>
      <sz val="11"/>
      <color theme="1"/>
      <name val="Times New Roman"/>
      <family val="1"/>
      <charset val="204"/>
    </font>
    <font>
      <sz val="8"/>
      <color theme="1"/>
      <name val="Times New Roman"/>
      <family val="1"/>
      <charset val="204"/>
    </font>
    <font>
      <sz val="11"/>
      <name val="Calibri"/>
      <family val="2"/>
      <scheme val="minor"/>
    </font>
    <font>
      <sz val="10"/>
      <color theme="1"/>
      <name val="Calibri"/>
      <family val="2"/>
      <scheme val="minor"/>
    </font>
    <font>
      <u/>
      <sz val="11"/>
      <color theme="10"/>
      <name val="Calibri"/>
      <family val="2"/>
      <scheme val="minor"/>
    </font>
    <font>
      <sz val="18"/>
      <color theme="3"/>
      <name val="Cambria"/>
      <family val="2"/>
      <charset val="204"/>
      <scheme val="major"/>
    </font>
    <font>
      <sz val="11"/>
      <color rgb="FFFF0000"/>
      <name val="Calibri"/>
      <family val="2"/>
      <charset val="204"/>
      <scheme val="minor"/>
    </font>
    <font>
      <b/>
      <sz val="12"/>
      <color theme="1"/>
      <name val="Calibri Light"/>
      <family val="2"/>
      <charset val="204"/>
    </font>
    <font>
      <b/>
      <sz val="11"/>
      <color theme="1" tint="0.249977111117893"/>
      <name val="Calibri Light"/>
      <family val="2"/>
      <charset val="204"/>
    </font>
    <font>
      <b/>
      <sz val="12"/>
      <color theme="1" tint="0.249977111117893"/>
      <name val="Calibri Light"/>
      <family val="2"/>
      <charset val="204"/>
    </font>
    <font>
      <i/>
      <sz val="11"/>
      <color theme="1" tint="0.249977111117893"/>
      <name val="Calibri Light"/>
      <family val="2"/>
      <charset val="204"/>
    </font>
    <font>
      <i/>
      <sz val="11"/>
      <name val="Calibri Light"/>
      <family val="2"/>
      <charset val="204"/>
    </font>
    <font>
      <b/>
      <sz val="12"/>
      <color theme="3" tint="0.39997558519241921"/>
      <name val="Calibri"/>
      <family val="2"/>
      <charset val="204"/>
      <scheme val="minor"/>
    </font>
    <font>
      <b/>
      <sz val="12"/>
      <color theme="3" tint="0.39997558519241921"/>
      <name val="Calibri Light"/>
      <family val="2"/>
      <charset val="204"/>
    </font>
    <font>
      <sz val="11"/>
      <color theme="1" tint="0.249977111117893"/>
      <name val="Calibri"/>
      <family val="2"/>
      <charset val="204"/>
      <scheme val="minor"/>
    </font>
    <font>
      <i/>
      <sz val="11"/>
      <color theme="1" tint="0.249977111117893"/>
      <name val="Calibri"/>
      <family val="2"/>
      <charset val="204"/>
      <scheme val="minor"/>
    </font>
    <font>
      <sz val="11"/>
      <color theme="1" tint="0.249977111117893"/>
      <name val="Calibri"/>
      <family val="2"/>
      <scheme val="minor"/>
    </font>
    <font>
      <sz val="12"/>
      <color theme="1"/>
      <name val="Calibri Light"/>
      <family val="2"/>
      <charset val="204"/>
    </font>
    <font>
      <sz val="12"/>
      <name val="Calibri Light"/>
      <family val="2"/>
      <charset val="204"/>
    </font>
    <font>
      <sz val="18"/>
      <color theme="4"/>
      <name val="Cambria"/>
      <family val="2"/>
      <charset val="204"/>
      <scheme val="major"/>
    </font>
    <font>
      <sz val="12"/>
      <color theme="1" tint="0.249977111117893"/>
      <name val="Calibri Light"/>
      <family val="2"/>
      <charset val="204"/>
    </font>
    <font>
      <sz val="11"/>
      <color rgb="FFFF0000"/>
      <name val="Calibri"/>
      <family val="2"/>
      <scheme val="minor"/>
    </font>
    <font>
      <b/>
      <sz val="14"/>
      <color theme="1" tint="0.249977111117893"/>
      <name val="Calibri Light"/>
      <family val="2"/>
      <charset val="204"/>
    </font>
    <font>
      <b/>
      <i/>
      <sz val="12"/>
      <color theme="3" tint="0.39997558519241921"/>
      <name val="Calibri Light"/>
      <family val="2"/>
      <charset val="204"/>
    </font>
    <font>
      <sz val="14"/>
      <color theme="3" tint="0.39997558519241921"/>
      <name val="Calibri"/>
      <family val="2"/>
      <charset val="204"/>
      <scheme val="minor"/>
    </font>
    <font>
      <i/>
      <sz val="12"/>
      <color theme="1" tint="0.249977111117893"/>
      <name val="Calibri"/>
      <family val="2"/>
      <charset val="204"/>
      <scheme val="minor"/>
    </font>
    <font>
      <b/>
      <sz val="18"/>
      <color rgb="FF0070C0"/>
      <name val="Cambria"/>
      <family val="1"/>
      <charset val="204"/>
      <scheme val="major"/>
    </font>
    <font>
      <sz val="14"/>
      <color theme="0"/>
      <name val="Calibri"/>
      <family val="2"/>
      <charset val="204"/>
      <scheme val="minor"/>
    </font>
    <font>
      <sz val="11"/>
      <color theme="1" tint="0.249977111117893"/>
      <name val="Calibri Light"/>
      <family val="2"/>
      <charset val="204"/>
    </font>
    <font>
      <sz val="10"/>
      <color theme="1" tint="0.249977111117893"/>
      <name val="Calibri Light"/>
      <family val="2"/>
      <charset val="204"/>
    </font>
    <font>
      <sz val="10"/>
      <name val="Calibri Light"/>
      <family val="2"/>
      <charset val="204"/>
    </font>
    <font>
      <b/>
      <sz val="10"/>
      <name val="Calibri Light"/>
      <family val="2"/>
      <charset val="204"/>
    </font>
    <font>
      <sz val="11"/>
      <name val="Calibri Light"/>
      <family val="2"/>
      <charset val="204"/>
    </font>
    <font>
      <sz val="13"/>
      <color theme="3" tint="0.39997558519241921"/>
      <name val="Calibri"/>
      <family val="2"/>
      <charset val="204"/>
      <scheme val="minor"/>
    </font>
    <font>
      <sz val="14"/>
      <color rgb="FFFF0000"/>
      <name val="Consolas"/>
      <family val="3"/>
      <charset val="204"/>
    </font>
    <font>
      <b/>
      <sz val="11"/>
      <color theme="3" tint="0.39997558519241921"/>
      <name val="Calibri Light"/>
      <family val="2"/>
      <charset val="204"/>
    </font>
    <font>
      <b/>
      <i/>
      <sz val="11"/>
      <name val="Calibri"/>
      <family val="2"/>
      <charset val="204"/>
      <scheme val="minor"/>
    </font>
    <font>
      <b/>
      <u/>
      <sz val="12"/>
      <color theme="4"/>
      <name val="Calibri Light"/>
      <family val="2"/>
      <charset val="204"/>
    </font>
    <font>
      <b/>
      <i/>
      <sz val="11"/>
      <color theme="3" tint="0.39997558519241921"/>
      <name val="Calibri Light"/>
      <family val="2"/>
      <charset val="204"/>
    </font>
    <font>
      <sz val="9"/>
      <color indexed="81"/>
      <name val="Tahoma"/>
      <family val="2"/>
      <charset val="204"/>
    </font>
    <font>
      <b/>
      <sz val="9"/>
      <color indexed="81"/>
      <name val="Tahoma"/>
      <family val="2"/>
      <charset val="204"/>
    </font>
    <font>
      <i/>
      <sz val="9"/>
      <color indexed="81"/>
      <name val="Tahoma"/>
      <family val="2"/>
      <charset val="204"/>
    </font>
    <font>
      <b/>
      <u/>
      <sz val="9"/>
      <color indexed="81"/>
      <name val="Tahoma"/>
      <family val="2"/>
      <charset val="204"/>
    </font>
    <font>
      <b/>
      <i/>
      <sz val="9"/>
      <color indexed="81"/>
      <name val="Tahoma"/>
      <family val="2"/>
      <charset val="204"/>
    </font>
    <font>
      <sz val="11"/>
      <color rgb="FF000000"/>
      <name val="Calibri"/>
      <family val="2"/>
      <charset val="204"/>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ECF2FA"/>
        <bgColor indexed="64"/>
      </patternFill>
    </fill>
  </fills>
  <borders count="13">
    <border>
      <left/>
      <right/>
      <top/>
      <bottom/>
      <diagonal/>
    </border>
    <border>
      <left/>
      <right/>
      <top style="thin">
        <color indexed="64"/>
      </top>
      <bottom/>
      <diagonal/>
    </border>
    <border>
      <left style="thin">
        <color indexed="64"/>
      </left>
      <right/>
      <top/>
      <bottom/>
      <diagonal/>
    </border>
    <border>
      <left style="double">
        <color theme="3" tint="0.39994506668294322"/>
      </left>
      <right/>
      <top style="dashed">
        <color theme="3" tint="0.39994506668294322"/>
      </top>
      <bottom/>
      <diagonal/>
    </border>
    <border>
      <left/>
      <right/>
      <top style="dashed">
        <color theme="3" tint="0.39994506668294322"/>
      </top>
      <bottom/>
      <diagonal/>
    </border>
    <border>
      <left/>
      <right style="double">
        <color theme="3" tint="0.39994506668294322"/>
      </right>
      <top style="dashed">
        <color theme="3" tint="0.39994506668294322"/>
      </top>
      <bottom/>
      <diagonal/>
    </border>
    <border>
      <left style="double">
        <color theme="3" tint="0.39994506668294322"/>
      </left>
      <right/>
      <top/>
      <bottom/>
      <diagonal/>
    </border>
    <border>
      <left/>
      <right style="double">
        <color theme="3" tint="0.39994506668294322"/>
      </right>
      <top/>
      <bottom/>
      <diagonal/>
    </border>
    <border>
      <left style="double">
        <color theme="3" tint="0.39994506668294322"/>
      </left>
      <right/>
      <top/>
      <bottom style="dashed">
        <color theme="3" tint="0.39994506668294322"/>
      </bottom>
      <diagonal/>
    </border>
    <border>
      <left/>
      <right/>
      <top/>
      <bottom style="dashed">
        <color theme="3" tint="0.39994506668294322"/>
      </bottom>
      <diagonal/>
    </border>
    <border>
      <left/>
      <right style="double">
        <color theme="3" tint="0.39994506668294322"/>
      </right>
      <top/>
      <bottom style="dashed">
        <color theme="3" tint="0.39994506668294322"/>
      </bottom>
      <diagonal/>
    </border>
    <border>
      <left/>
      <right style="double">
        <color theme="3" tint="0.39991454817346722"/>
      </right>
      <top style="dashed">
        <color theme="3" tint="0.39994506668294322"/>
      </top>
      <bottom/>
      <diagonal/>
    </border>
    <border>
      <left/>
      <right style="double">
        <color theme="3" tint="0.39991454817346722"/>
      </right>
      <top/>
      <bottom/>
      <diagonal/>
    </border>
  </borders>
  <cellStyleXfs count="3">
    <xf numFmtId="0" fontId="0" fillId="0" borderId="0"/>
    <xf numFmtId="0" fontId="10" fillId="0" borderId="0" applyNumberFormat="0" applyFill="0" applyBorder="0" applyAlignment="0" applyProtection="0"/>
    <xf numFmtId="0" fontId="11" fillId="0" borderId="0" applyNumberFormat="0" applyFill="0" applyBorder="0" applyAlignment="0" applyProtection="0"/>
  </cellStyleXfs>
  <cellXfs count="153">
    <xf numFmtId="0" fontId="0" fillId="0" borderId="0" xfId="0"/>
    <xf numFmtId="0" fontId="0" fillId="2" borderId="0" xfId="0" applyFill="1" applyBorder="1"/>
    <xf numFmtId="0" fontId="0" fillId="2" borderId="1" xfId="0" applyFill="1" applyBorder="1"/>
    <xf numFmtId="14" fontId="0" fillId="0" borderId="0" xfId="0" applyNumberFormat="1"/>
    <xf numFmtId="0" fontId="0" fillId="0" borderId="0" xfId="0" applyBorder="1"/>
    <xf numFmtId="0" fontId="0" fillId="2" borderId="0" xfId="0" applyFill="1"/>
    <xf numFmtId="0" fontId="0" fillId="2" borderId="2" xfId="0" applyFill="1" applyBorder="1"/>
    <xf numFmtId="0" fontId="8" fillId="3" borderId="0" xfId="0" applyFont="1" applyFill="1" applyBorder="1"/>
    <xf numFmtId="0" fontId="0" fillId="3" borderId="0" xfId="0" applyFill="1" applyBorder="1"/>
    <xf numFmtId="0" fontId="0" fillId="2" borderId="0" xfId="0" applyNumberFormat="1" applyFill="1" applyBorder="1"/>
    <xf numFmtId="14" fontId="4" fillId="3" borderId="0" xfId="0" applyNumberFormat="1" applyFont="1" applyFill="1" applyBorder="1" applyAlignment="1">
      <alignment vertical="center"/>
    </xf>
    <xf numFmtId="0" fontId="9" fillId="3" borderId="0" xfId="0" applyFont="1" applyFill="1" applyBorder="1"/>
    <xf numFmtId="0" fontId="9" fillId="2" borderId="0" xfId="0" applyFont="1" applyFill="1" applyBorder="1"/>
    <xf numFmtId="0" fontId="0" fillId="3" borderId="0" xfId="0" applyFont="1" applyFill="1" applyBorder="1" applyAlignment="1"/>
    <xf numFmtId="0" fontId="0" fillId="0" borderId="0" xfId="0" applyFill="1" applyBorder="1"/>
    <xf numFmtId="0" fontId="5" fillId="0" borderId="0" xfId="0" applyFont="1" applyFill="1" applyBorder="1"/>
    <xf numFmtId="0" fontId="2" fillId="0" borderId="0" xfId="0" applyFont="1" applyFill="1" applyBorder="1" applyAlignment="1">
      <alignment horizontal="left"/>
    </xf>
    <xf numFmtId="0" fontId="2" fillId="0" borderId="0" xfId="0" applyFont="1" applyFill="1" applyBorder="1" applyAlignment="1">
      <alignment horizontal="center"/>
    </xf>
    <xf numFmtId="0" fontId="2" fillId="0" borderId="0" xfId="0" applyFont="1" applyFill="1" applyBorder="1" applyAlignment="1">
      <alignment horizontal="left" indent="3"/>
    </xf>
    <xf numFmtId="0" fontId="1" fillId="0" borderId="0" xfId="0" applyFont="1" applyFill="1" applyBorder="1" applyAlignment="1">
      <alignment horizontal="left"/>
    </xf>
    <xf numFmtId="0" fontId="0" fillId="0" borderId="0" xfId="0" applyFill="1"/>
    <xf numFmtId="14" fontId="0" fillId="0" borderId="0" xfId="0" applyNumberFormat="1" applyFill="1"/>
    <xf numFmtId="0" fontId="8" fillId="0" borderId="0" xfId="0" applyFont="1" applyFill="1" applyBorder="1"/>
    <xf numFmtId="0" fontId="0" fillId="0" borderId="0" xfId="0" applyNumberFormat="1" applyFill="1"/>
    <xf numFmtId="0" fontId="7" fillId="0" borderId="0" xfId="0" applyFont="1" applyBorder="1"/>
    <xf numFmtId="0" fontId="6" fillId="0" borderId="0" xfId="0" applyFont="1" applyBorder="1"/>
    <xf numFmtId="14" fontId="0" fillId="0" borderId="0" xfId="0" applyNumberFormat="1" applyBorder="1"/>
    <xf numFmtId="0" fontId="0" fillId="0" borderId="0" xfId="0" applyBorder="1" applyAlignment="1">
      <alignment horizontal="right" vertical="center" wrapText="1"/>
    </xf>
    <xf numFmtId="0" fontId="0" fillId="0" borderId="0" xfId="0" applyBorder="1" applyAlignment="1">
      <alignment horizontal="right" vertical="top" indent="2"/>
    </xf>
    <xf numFmtId="0" fontId="8" fillId="2" borderId="0" xfId="0" applyFont="1" applyFill="1" applyBorder="1"/>
    <xf numFmtId="0" fontId="27" fillId="0" borderId="0" xfId="0" applyFont="1" applyFill="1"/>
    <xf numFmtId="0" fontId="0" fillId="3" borderId="0" xfId="0" applyFill="1"/>
    <xf numFmtId="0" fontId="25" fillId="0" borderId="0" xfId="2" applyFont="1" applyBorder="1" applyAlignment="1">
      <alignment horizontal="center" vertical="center"/>
    </xf>
    <xf numFmtId="0" fontId="32" fillId="0" borderId="0" xfId="2" applyFont="1" applyBorder="1" applyAlignment="1">
      <alignment vertical="center"/>
    </xf>
    <xf numFmtId="0" fontId="32" fillId="0" borderId="0" xfId="2" applyFont="1" applyBorder="1" applyAlignment="1">
      <alignment horizontal="center" vertical="center"/>
    </xf>
    <xf numFmtId="0" fontId="15" fillId="0" borderId="0" xfId="0" applyFont="1" applyBorder="1" applyAlignment="1">
      <alignment vertical="center" wrapText="1"/>
    </xf>
    <xf numFmtId="0" fontId="30" fillId="0" borderId="0" xfId="0" applyFont="1" applyFill="1" applyBorder="1" applyAlignment="1">
      <alignment horizontal="left" vertical="center"/>
    </xf>
    <xf numFmtId="0" fontId="8" fillId="0" borderId="0" xfId="0" applyFont="1" applyFill="1" applyBorder="1" applyAlignment="1">
      <alignment wrapText="1"/>
    </xf>
    <xf numFmtId="0" fontId="34" fillId="0" borderId="0" xfId="0" applyFont="1" applyFill="1" applyBorder="1" applyAlignment="1">
      <alignment horizontal="left" vertical="top" wrapText="1" indent="1"/>
    </xf>
    <xf numFmtId="0" fontId="33" fillId="0" borderId="0" xfId="0" applyFont="1" applyFill="1" applyBorder="1" applyAlignment="1">
      <alignment horizontal="center" vertical="center"/>
    </xf>
    <xf numFmtId="0" fontId="37" fillId="0" borderId="0" xfId="0" applyFont="1" applyFill="1" applyBorder="1" applyAlignment="1">
      <alignment horizontal="left" vertical="top" wrapText="1" indent="1"/>
    </xf>
    <xf numFmtId="0" fontId="36" fillId="0" borderId="0" xfId="0" applyFont="1" applyFill="1" applyAlignment="1">
      <alignment horizontal="left" vertical="top" wrapText="1" indent="1"/>
    </xf>
    <xf numFmtId="0" fontId="0" fillId="3" borderId="0" xfId="0" applyFill="1" applyBorder="1" applyAlignment="1">
      <alignment horizontal="right" vertical="center" wrapText="1"/>
    </xf>
    <xf numFmtId="0" fontId="32" fillId="0" borderId="0" xfId="2" applyFont="1" applyBorder="1" applyAlignment="1">
      <alignment horizontal="center" vertical="center" wrapText="1"/>
    </xf>
    <xf numFmtId="0" fontId="12" fillId="0" borderId="0" xfId="0" applyFont="1" applyFill="1"/>
    <xf numFmtId="0" fontId="34" fillId="0" borderId="0" xfId="0" applyFont="1" applyFill="1" applyBorder="1" applyAlignment="1">
      <alignment horizontal="left" vertical="center" wrapText="1" indent="1"/>
    </xf>
    <xf numFmtId="0" fontId="34" fillId="0" borderId="0" xfId="0" applyFont="1" applyFill="1" applyAlignment="1">
      <alignment horizontal="left" vertical="center" wrapText="1" indent="1"/>
    </xf>
    <xf numFmtId="14" fontId="34" fillId="0" borderId="0" xfId="0" applyNumberFormat="1" applyFont="1" applyFill="1" applyAlignment="1">
      <alignment horizontal="left" vertical="center" wrapText="1" indent="1"/>
    </xf>
    <xf numFmtId="0" fontId="35" fillId="0" borderId="0" xfId="0" applyNumberFormat="1" applyFont="1" applyFill="1" applyAlignment="1">
      <alignment horizontal="left" vertical="center" wrapText="1" indent="1"/>
    </xf>
    <xf numFmtId="0" fontId="39" fillId="3" borderId="0" xfId="0" applyFont="1" applyFill="1" applyAlignment="1">
      <alignment horizontal="center" vertical="center"/>
    </xf>
    <xf numFmtId="0" fontId="4" fillId="0" borderId="0" xfId="0" applyFont="1" applyFill="1" applyAlignment="1">
      <alignment horizontal="center" vertical="center"/>
    </xf>
    <xf numFmtId="0" fontId="34" fillId="0" borderId="0" xfId="0" applyFont="1" applyFill="1" applyAlignment="1">
      <alignment horizontal="left" vertical="center" indent="1"/>
    </xf>
    <xf numFmtId="0" fontId="34" fillId="0" borderId="0" xfId="0" applyFont="1" applyFill="1" applyBorder="1" applyAlignment="1">
      <alignment horizontal="left" vertical="center" indent="1"/>
    </xf>
    <xf numFmtId="0" fontId="7" fillId="3" borderId="0" xfId="0" applyFont="1" applyFill="1" applyBorder="1"/>
    <xf numFmtId="0" fontId="6" fillId="3" borderId="0" xfId="0" applyFont="1" applyFill="1" applyBorder="1"/>
    <xf numFmtId="14" fontId="0" fillId="3" borderId="0" xfId="0" applyNumberFormat="1" applyFill="1" applyBorder="1"/>
    <xf numFmtId="0" fontId="34" fillId="3" borderId="0" xfId="0" applyFont="1" applyFill="1"/>
    <xf numFmtId="0" fontId="3" fillId="3" borderId="0" xfId="0" applyFont="1" applyFill="1" applyBorder="1" applyAlignment="1">
      <alignment vertical="center" wrapText="1"/>
    </xf>
    <xf numFmtId="0" fontId="16" fillId="0" borderId="0" xfId="0" applyFont="1" applyBorder="1" applyAlignment="1">
      <alignment wrapText="1"/>
    </xf>
    <xf numFmtId="0" fontId="41" fillId="0" borderId="0" xfId="0" applyFont="1" applyBorder="1" applyAlignment="1">
      <alignment horizontal="left" indent="5"/>
    </xf>
    <xf numFmtId="0" fontId="34" fillId="0" borderId="0" xfId="0" applyFont="1" applyBorder="1" applyAlignment="1">
      <alignment horizontal="left" indent="4"/>
    </xf>
    <xf numFmtId="0" fontId="34" fillId="3" borderId="0" xfId="0" applyFont="1" applyFill="1" applyBorder="1"/>
    <xf numFmtId="0" fontId="15" fillId="3" borderId="0" xfId="0" quotePrefix="1" applyFont="1" applyFill="1" applyBorder="1"/>
    <xf numFmtId="0" fontId="24" fillId="3" borderId="0" xfId="0" applyFont="1" applyFill="1" applyBorder="1"/>
    <xf numFmtId="0" fontId="14" fillId="0" borderId="0" xfId="0" applyFont="1" applyBorder="1" applyAlignment="1">
      <alignment horizontal="left" indent="5"/>
    </xf>
    <xf numFmtId="0" fontId="0" fillId="3" borderId="4" xfId="0" applyFill="1" applyBorder="1"/>
    <xf numFmtId="0" fontId="0" fillId="3" borderId="5" xfId="0" applyFill="1" applyBorder="1"/>
    <xf numFmtId="0" fontId="0" fillId="3" borderId="7" xfId="0" applyFill="1" applyBorder="1"/>
    <xf numFmtId="0" fontId="0" fillId="3" borderId="9" xfId="0" applyFill="1" applyBorder="1"/>
    <xf numFmtId="0" fontId="0" fillId="3" borderId="10" xfId="0" applyFill="1" applyBorder="1"/>
    <xf numFmtId="0" fontId="22" fillId="3" borderId="0" xfId="0" applyFont="1" applyFill="1" applyBorder="1" applyAlignment="1">
      <alignment horizontal="right" indent="3"/>
    </xf>
    <xf numFmtId="0" fontId="38" fillId="0" borderId="0" xfId="0" applyFont="1" applyBorder="1" applyAlignment="1">
      <alignment horizontal="left"/>
    </xf>
    <xf numFmtId="0" fontId="19" fillId="0" borderId="0" xfId="0" applyFont="1" applyBorder="1" applyAlignment="1">
      <alignment horizontal="left" indent="4"/>
    </xf>
    <xf numFmtId="0" fontId="19" fillId="0" borderId="0" xfId="0" applyFont="1" applyFill="1" applyBorder="1" applyAlignment="1">
      <alignment horizontal="left" indent="4"/>
    </xf>
    <xf numFmtId="0" fontId="29" fillId="0" borderId="0" xfId="0" applyFont="1" applyBorder="1" applyAlignment="1">
      <alignment horizontal="right"/>
    </xf>
    <xf numFmtId="0" fontId="15" fillId="3" borderId="4" xfId="0" applyFont="1" applyFill="1" applyBorder="1" applyAlignment="1">
      <alignment vertical="center"/>
    </xf>
    <xf numFmtId="0" fontId="43" fillId="3" borderId="0" xfId="1" applyFont="1" applyFill="1" applyBorder="1" applyAlignment="1">
      <alignment vertical="center"/>
    </xf>
    <xf numFmtId="0" fontId="15" fillId="3" borderId="0" xfId="0" applyFont="1" applyFill="1" applyBorder="1" applyAlignment="1">
      <alignment vertical="center"/>
    </xf>
    <xf numFmtId="0" fontId="15" fillId="3" borderId="9" xfId="0" quotePrefix="1" applyFont="1" applyFill="1" applyBorder="1" applyAlignment="1">
      <alignment vertical="center"/>
    </xf>
    <xf numFmtId="0" fontId="34" fillId="3" borderId="12" xfId="0" applyFont="1" applyFill="1" applyBorder="1" applyAlignment="1">
      <alignment horizontal="center" vertical="center"/>
    </xf>
    <xf numFmtId="0" fontId="17" fillId="0" borderId="0" xfId="0" applyFont="1" applyBorder="1" applyAlignment="1">
      <alignment horizontal="left"/>
    </xf>
    <xf numFmtId="0" fontId="0" fillId="0" borderId="4" xfId="0" applyFill="1" applyBorder="1"/>
    <xf numFmtId="0" fontId="0" fillId="0" borderId="5" xfId="0" applyFill="1" applyBorder="1"/>
    <xf numFmtId="0" fontId="0" fillId="0" borderId="7" xfId="0" applyFill="1" applyBorder="1"/>
    <xf numFmtId="0" fontId="0" fillId="0" borderId="9" xfId="0" applyFill="1" applyBorder="1"/>
    <xf numFmtId="0" fontId="0" fillId="0" borderId="10" xfId="0" applyFill="1" applyBorder="1"/>
    <xf numFmtId="0" fontId="26" fillId="0" borderId="0" xfId="0" applyFont="1" applyFill="1" applyBorder="1" applyAlignment="1">
      <alignment horizontal="left" vertical="center" wrapText="1"/>
    </xf>
    <xf numFmtId="0" fontId="22" fillId="0" borderId="4" xfId="0" applyFont="1" applyFill="1" applyBorder="1"/>
    <xf numFmtId="0" fontId="22" fillId="0" borderId="0" xfId="0" applyFont="1" applyFill="1" applyBorder="1"/>
    <xf numFmtId="0" fontId="22" fillId="0" borderId="9" xfId="0" applyFont="1" applyFill="1" applyBorder="1"/>
    <xf numFmtId="0" fontId="44" fillId="0" borderId="0" xfId="0" applyFont="1" applyBorder="1" applyAlignment="1">
      <alignment horizontal="right"/>
    </xf>
    <xf numFmtId="0" fontId="15" fillId="0" borderId="4" xfId="0" applyFont="1" applyFill="1" applyBorder="1" applyAlignment="1">
      <alignment vertical="center"/>
    </xf>
    <xf numFmtId="0" fontId="15" fillId="0" borderId="0" xfId="0" applyFont="1" applyFill="1" applyBorder="1" applyAlignment="1">
      <alignment vertical="center"/>
    </xf>
    <xf numFmtId="0" fontId="15" fillId="0" borderId="9" xfId="0" quotePrefix="1" applyFont="1" applyFill="1" applyBorder="1" applyAlignment="1">
      <alignment horizontal="left" vertical="center"/>
    </xf>
    <xf numFmtId="0" fontId="1" fillId="0" borderId="3" xfId="0" applyFont="1" applyFill="1" applyBorder="1" applyAlignment="1">
      <alignment horizontal="left"/>
    </xf>
    <xf numFmtId="0" fontId="1" fillId="0" borderId="8" xfId="0" applyFont="1" applyFill="1" applyBorder="1" applyAlignment="1">
      <alignment horizontal="left"/>
    </xf>
    <xf numFmtId="0" fontId="2" fillId="0" borderId="9" xfId="0" applyFont="1" applyFill="1" applyBorder="1" applyAlignment="1">
      <alignment horizontal="left" vertical="center"/>
    </xf>
    <xf numFmtId="0" fontId="2" fillId="0" borderId="9" xfId="0" applyFont="1" applyFill="1" applyBorder="1" applyAlignment="1">
      <alignment horizontal="center" vertical="center"/>
    </xf>
    <xf numFmtId="0" fontId="2" fillId="0" borderId="10" xfId="0" applyFont="1" applyFill="1" applyBorder="1" applyAlignment="1">
      <alignment horizontal="left" vertical="center"/>
    </xf>
    <xf numFmtId="0" fontId="13" fillId="0" borderId="9" xfId="0" applyFont="1" applyFill="1" applyBorder="1" applyAlignment="1">
      <alignment vertical="center"/>
    </xf>
    <xf numFmtId="0" fontId="41" fillId="0" borderId="4" xfId="0" applyFont="1" applyFill="1" applyBorder="1" applyAlignment="1">
      <alignment vertical="center" wrapText="1"/>
    </xf>
    <xf numFmtId="0" fontId="41" fillId="0" borderId="5" xfId="0" applyFont="1" applyFill="1" applyBorder="1" applyAlignment="1">
      <alignment vertical="center" wrapText="1"/>
    </xf>
    <xf numFmtId="0" fontId="22" fillId="0" borderId="9" xfId="0" applyFont="1" applyFill="1" applyBorder="1" applyAlignment="1">
      <alignment vertical="center"/>
    </xf>
    <xf numFmtId="0" fontId="20" fillId="0" borderId="4" xfId="0" applyFont="1" applyFill="1" applyBorder="1" applyAlignment="1">
      <alignment vertical="center"/>
    </xf>
    <xf numFmtId="0" fontId="18" fillId="3" borderId="11" xfId="0" applyFont="1" applyFill="1" applyBorder="1" applyAlignment="1">
      <alignment horizontal="center" vertical="center"/>
    </xf>
    <xf numFmtId="0" fontId="14" fillId="0" borderId="4" xfId="0" applyFont="1" applyFill="1" applyBorder="1" applyAlignment="1">
      <alignment vertical="center"/>
    </xf>
    <xf numFmtId="0" fontId="0" fillId="3" borderId="0" xfId="0" applyFill="1" applyBorder="1" applyAlignment="1"/>
    <xf numFmtId="0" fontId="0" fillId="3" borderId="4" xfId="0" applyFill="1" applyBorder="1" applyAlignment="1"/>
    <xf numFmtId="0" fontId="21" fillId="3" borderId="0" xfId="0" applyFont="1" applyFill="1" applyBorder="1" applyAlignment="1">
      <alignment horizontal="center"/>
    </xf>
    <xf numFmtId="0" fontId="19" fillId="3" borderId="0" xfId="0" applyFont="1" applyFill="1" applyBorder="1" applyAlignment="1">
      <alignment horizontal="center" vertical="center"/>
    </xf>
    <xf numFmtId="14" fontId="19" fillId="3" borderId="0" xfId="0" applyNumberFormat="1" applyFont="1" applyFill="1" applyBorder="1" applyAlignment="1">
      <alignment horizontal="center"/>
    </xf>
    <xf numFmtId="0" fontId="32" fillId="0" borderId="0" xfId="2" applyFont="1" applyBorder="1" applyAlignment="1">
      <alignment horizontal="center" vertical="center"/>
    </xf>
    <xf numFmtId="0" fontId="40" fillId="3" borderId="0" xfId="0" applyFont="1" applyFill="1" applyAlignment="1">
      <alignment horizontal="left" vertical="center"/>
    </xf>
    <xf numFmtId="0" fontId="19" fillId="0" borderId="0" xfId="0" applyFont="1" applyBorder="1" applyAlignment="1">
      <alignment horizontal="center" vertical="center"/>
    </xf>
    <xf numFmtId="14" fontId="19" fillId="0" borderId="0" xfId="0" applyNumberFormat="1" applyFont="1" applyBorder="1" applyAlignment="1">
      <alignment horizontal="center"/>
    </xf>
    <xf numFmtId="0" fontId="21" fillId="0" borderId="0" xfId="0" applyFont="1" applyBorder="1" applyAlignment="1">
      <alignment horizontal="center"/>
    </xf>
    <xf numFmtId="0" fontId="15" fillId="0" borderId="0" xfId="0" applyFont="1" applyBorder="1" applyAlignment="1">
      <alignment horizontal="right" vertical="center" wrapText="1" indent="2"/>
    </xf>
    <xf numFmtId="0" fontId="26" fillId="2" borderId="0" xfId="0" applyFont="1" applyFill="1" applyBorder="1" applyAlignment="1">
      <alignment horizontal="center" vertical="center"/>
    </xf>
    <xf numFmtId="0" fontId="26" fillId="4" borderId="0" xfId="0" applyFont="1" applyFill="1" applyBorder="1" applyAlignment="1">
      <alignment horizontal="left" vertical="top" wrapText="1" indent="1"/>
    </xf>
    <xf numFmtId="0" fontId="26" fillId="4" borderId="0" xfId="0" applyFont="1" applyFill="1" applyBorder="1" applyAlignment="1">
      <alignment horizontal="left" wrapText="1" indent="1"/>
    </xf>
    <xf numFmtId="0" fontId="15" fillId="0" borderId="0" xfId="0" applyFont="1" applyBorder="1" applyAlignment="1">
      <alignment horizontal="right" vertical="top" wrapText="1" indent="2"/>
    </xf>
    <xf numFmtId="0" fontId="26" fillId="4" borderId="0" xfId="0" applyFont="1" applyFill="1" applyBorder="1" applyAlignment="1">
      <alignment horizontal="left" vertical="center" wrapText="1" indent="1"/>
    </xf>
    <xf numFmtId="0" fontId="16" fillId="0" borderId="0" xfId="0" applyFont="1" applyBorder="1" applyAlignment="1">
      <alignment horizontal="left" vertical="center" wrapText="1" indent="1"/>
    </xf>
    <xf numFmtId="0" fontId="26" fillId="4" borderId="0" xfId="0" applyFont="1" applyFill="1" applyBorder="1" applyAlignment="1">
      <alignment horizontal="left" vertical="center" indent="1"/>
    </xf>
    <xf numFmtId="49" fontId="26" fillId="4" borderId="0" xfId="0" quotePrefix="1" applyNumberFormat="1" applyFont="1" applyFill="1" applyBorder="1" applyAlignment="1">
      <alignment horizontal="left" vertical="center" indent="1"/>
    </xf>
    <xf numFmtId="49" fontId="26" fillId="4" borderId="0" xfId="0" applyNumberFormat="1" applyFont="1" applyFill="1" applyBorder="1" applyAlignment="1">
      <alignment horizontal="left" vertical="center" indent="1"/>
    </xf>
    <xf numFmtId="14" fontId="26" fillId="4" borderId="0" xfId="0" applyNumberFormat="1" applyFont="1" applyFill="1" applyBorder="1" applyAlignment="1">
      <alignment horizontal="center" vertical="center"/>
    </xf>
    <xf numFmtId="0" fontId="31" fillId="0" borderId="0" xfId="0" applyFont="1" applyFill="1" applyBorder="1" applyAlignment="1">
      <alignment horizontal="center" vertical="center" wrapText="1"/>
    </xf>
    <xf numFmtId="0" fontId="26" fillId="4" borderId="0" xfId="0" applyFont="1" applyFill="1" applyBorder="1" applyAlignment="1">
      <alignment horizontal="center" vertical="center"/>
    </xf>
    <xf numFmtId="0" fontId="32" fillId="0" borderId="0" xfId="2" applyFont="1" applyBorder="1" applyAlignment="1">
      <alignment horizontal="center" vertical="center" wrapText="1"/>
    </xf>
    <xf numFmtId="0" fontId="15" fillId="0" borderId="0" xfId="0" applyFont="1" applyBorder="1" applyAlignment="1">
      <alignment horizontal="left" vertical="center" wrapText="1" indent="3"/>
    </xf>
    <xf numFmtId="0" fontId="23" fillId="4" borderId="0" xfId="0" applyFont="1" applyFill="1" applyBorder="1" applyAlignment="1">
      <alignment horizontal="left" vertical="center" indent="1"/>
    </xf>
    <xf numFmtId="14" fontId="26" fillId="2" borderId="0" xfId="0" applyNumberFormat="1" applyFont="1" applyFill="1" applyBorder="1" applyAlignment="1">
      <alignment horizontal="left" vertical="center" indent="1"/>
    </xf>
    <xf numFmtId="0" fontId="34" fillId="3" borderId="6" xfId="0" applyFont="1" applyFill="1" applyBorder="1" applyAlignment="1">
      <alignment horizontal="left" vertical="center" indent="1"/>
    </xf>
    <xf numFmtId="0" fontId="34" fillId="3" borderId="0" xfId="0" applyFont="1" applyFill="1" applyBorder="1" applyAlignment="1">
      <alignment horizontal="left" vertical="center" indent="1"/>
    </xf>
    <xf numFmtId="0" fontId="34" fillId="3" borderId="0" xfId="0" applyFont="1" applyFill="1" applyBorder="1" applyAlignment="1">
      <alignment horizontal="center" vertical="center"/>
    </xf>
    <xf numFmtId="0" fontId="22" fillId="0" borderId="8" xfId="0" applyFont="1" applyFill="1" applyBorder="1" applyAlignment="1">
      <alignment horizontal="right" vertical="center" indent="3"/>
    </xf>
    <xf numFmtId="0" fontId="22" fillId="0" borderId="9" xfId="0" applyFont="1" applyFill="1" applyBorder="1" applyAlignment="1">
      <alignment horizontal="right" vertical="center" indent="3"/>
    </xf>
    <xf numFmtId="0" fontId="26" fillId="0" borderId="0" xfId="0" applyFont="1" applyFill="1" applyBorder="1" applyAlignment="1">
      <alignment horizontal="left" vertical="center" wrapText="1"/>
    </xf>
    <xf numFmtId="0" fontId="22" fillId="0" borderId="3" xfId="0" applyFont="1" applyFill="1" applyBorder="1" applyAlignment="1">
      <alignment horizontal="right" vertical="center" indent="3"/>
    </xf>
    <xf numFmtId="0" fontId="22" fillId="0" borderId="4" xfId="0" applyFont="1" applyFill="1" applyBorder="1" applyAlignment="1">
      <alignment horizontal="right" vertical="center" indent="3"/>
    </xf>
    <xf numFmtId="0" fontId="22" fillId="0" borderId="6" xfId="0" applyFont="1" applyFill="1" applyBorder="1" applyAlignment="1">
      <alignment horizontal="right" vertical="center" indent="3"/>
    </xf>
    <xf numFmtId="0" fontId="22" fillId="0" borderId="0" xfId="0" applyFont="1" applyFill="1" applyBorder="1" applyAlignment="1">
      <alignment horizontal="right" vertical="center" indent="3"/>
    </xf>
    <xf numFmtId="0" fontId="18" fillId="3" borderId="3" xfId="0" applyFont="1" applyFill="1" applyBorder="1" applyAlignment="1">
      <alignment horizontal="center" vertical="center"/>
    </xf>
    <xf numFmtId="0" fontId="18" fillId="3" borderId="4" xfId="0" applyFont="1" applyFill="1" applyBorder="1" applyAlignment="1">
      <alignment horizontal="center" vertical="center"/>
    </xf>
    <xf numFmtId="0" fontId="22" fillId="3" borderId="8" xfId="0" applyFont="1" applyFill="1" applyBorder="1" applyAlignment="1">
      <alignment horizontal="right" vertical="center" indent="3"/>
    </xf>
    <xf numFmtId="0" fontId="22" fillId="3" borderId="9" xfId="0" applyFont="1" applyFill="1" applyBorder="1" applyAlignment="1">
      <alignment horizontal="right" vertical="center" indent="3"/>
    </xf>
    <xf numFmtId="0" fontId="28" fillId="3" borderId="0" xfId="0" applyFont="1" applyFill="1" applyBorder="1" applyAlignment="1">
      <alignment horizontal="left" vertical="center" wrapText="1" indent="1"/>
    </xf>
    <xf numFmtId="0" fontId="22" fillId="3" borderId="6" xfId="0" applyFont="1" applyFill="1" applyBorder="1" applyAlignment="1">
      <alignment horizontal="right" vertical="center" indent="3"/>
    </xf>
    <xf numFmtId="0" fontId="22" fillId="3" borderId="0" xfId="0" applyFont="1" applyFill="1" applyBorder="1" applyAlignment="1">
      <alignment horizontal="right" vertical="center" indent="3"/>
    </xf>
    <xf numFmtId="0" fontId="22" fillId="3" borderId="3" xfId="0" applyFont="1" applyFill="1" applyBorder="1" applyAlignment="1">
      <alignment horizontal="right" vertical="center" indent="3"/>
    </xf>
    <xf numFmtId="0" fontId="22" fillId="3" borderId="4" xfId="0" applyFont="1" applyFill="1" applyBorder="1" applyAlignment="1">
      <alignment horizontal="right" vertical="center" indent="3"/>
    </xf>
    <xf numFmtId="0" fontId="16" fillId="0" borderId="0" xfId="0" applyFont="1" applyBorder="1" applyAlignment="1">
      <alignment horizontal="left" wrapText="1" indent="1"/>
    </xf>
  </cellXfs>
  <cellStyles count="3">
    <cellStyle name="Гиперссылка" xfId="1" builtinId="8"/>
    <cellStyle name="Название" xfId="2" builtinId="15"/>
    <cellStyle name="Обычный" xfId="0" builtinId="0"/>
  </cellStyles>
  <dxfs count="35">
    <dxf>
      <font>
        <strike val="0"/>
        <outline val="0"/>
        <shadow val="0"/>
        <u val="none"/>
        <vertAlign val="baseline"/>
        <sz val="11"/>
        <color theme="1" tint="0.249977111117893"/>
        <name val="Calibri Light"/>
        <scheme val="none"/>
      </font>
      <fill>
        <patternFill patternType="none">
          <fgColor indexed="64"/>
          <bgColor auto="1"/>
        </patternFill>
      </fill>
      <alignment horizontal="left" vertical="top" textRotation="0" wrapText="1" indent="1" justifyLastLine="0" shrinkToFit="0" readingOrder="0"/>
    </dxf>
    <dxf>
      <font>
        <strike val="0"/>
        <outline val="0"/>
        <shadow val="0"/>
        <u val="none"/>
        <vertAlign val="baseline"/>
        <sz val="11"/>
        <color theme="1" tint="0.249977111117893"/>
        <name val="Calibri Light"/>
        <scheme val="none"/>
      </font>
      <fill>
        <patternFill patternType="none">
          <fgColor indexed="64"/>
          <bgColor auto="1"/>
        </patternFill>
      </fill>
      <alignment horizontal="left" vertical="top" textRotation="0" wrapText="1" indent="1" justifyLastLine="0" shrinkToFit="0" readingOrder="0"/>
    </dxf>
    <dxf>
      <font>
        <b val="0"/>
        <strike val="0"/>
        <outline val="0"/>
        <shadow val="0"/>
        <u val="none"/>
        <vertAlign val="baseline"/>
        <sz val="14"/>
        <color theme="0"/>
        <name val="Calibri"/>
        <scheme val="minor"/>
      </font>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1"/>
        <color theme="1" tint="0.249977111117893"/>
        <name val="Calibri Light"/>
        <scheme val="none"/>
      </font>
      <fill>
        <patternFill patternType="none">
          <fgColor indexed="64"/>
          <bgColor auto="1"/>
        </patternFill>
      </fill>
      <alignment horizontal="left" vertical="top" textRotation="0" wrapText="1" indent="1" justifyLastLine="0" shrinkToFit="0" readingOrder="0"/>
    </dxf>
    <dxf>
      <font>
        <strike val="0"/>
        <outline val="0"/>
        <shadow val="0"/>
        <u val="none"/>
        <vertAlign val="baseline"/>
        <sz val="11"/>
        <color theme="1" tint="0.249977111117893"/>
        <name val="Calibri Light"/>
        <scheme val="none"/>
      </font>
      <fill>
        <patternFill patternType="none">
          <fgColor indexed="64"/>
          <bgColor auto="1"/>
        </patternFill>
      </fill>
      <alignment horizontal="left" vertical="top" textRotation="0" wrapText="1" indent="1" justifyLastLine="0" shrinkToFit="0" readingOrder="0"/>
    </dxf>
    <dxf>
      <font>
        <b val="0"/>
        <strike val="0"/>
        <outline val="0"/>
        <shadow val="0"/>
        <u val="none"/>
        <vertAlign val="baseline"/>
        <sz val="14"/>
        <color theme="0"/>
        <name val="Calibri"/>
        <scheme val="minor"/>
      </font>
      <fill>
        <patternFill patternType="none">
          <fgColor indexed="64"/>
          <bgColor auto="1"/>
        </patternFill>
      </fill>
      <alignment horizontal="center" vertical="center" textRotation="0" wrapText="0" indent="0" justifyLastLine="0" shrinkToFit="0" readingOrder="0"/>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indexed="65"/>
        </patternFill>
      </fill>
    </dxf>
    <dxf>
      <font>
        <strike val="0"/>
        <outline val="0"/>
        <shadow val="0"/>
        <u val="none"/>
        <vertAlign val="baseline"/>
        <sz val="11"/>
        <color theme="1" tint="0.249977111117893"/>
        <name val="Calibri Light"/>
        <scheme val="none"/>
      </font>
      <fill>
        <patternFill patternType="none">
          <fgColor indexed="64"/>
          <bgColor auto="1"/>
        </patternFill>
      </fill>
      <alignment horizontal="left" vertical="center" textRotation="0" wrapText="0" indent="1" justifyLastLine="0" shrinkToFit="0" readingOrder="0"/>
    </dxf>
    <dxf>
      <font>
        <strike val="0"/>
        <outline val="0"/>
        <shadow val="0"/>
        <u val="none"/>
        <vertAlign val="baseline"/>
        <sz val="11"/>
        <color theme="1" tint="0.249977111117893"/>
        <name val="Calibri Light"/>
        <scheme val="none"/>
      </font>
      <fill>
        <patternFill patternType="none">
          <fgColor indexed="64"/>
          <bgColor auto="1"/>
        </patternFill>
      </fill>
      <alignment horizontal="left" vertical="center" textRotation="0" wrapText="0" indent="1" justifyLastLine="0" shrinkToFit="0" readingOrder="0"/>
    </dxf>
    <dxf>
      <fill>
        <patternFill patternType="none">
          <fgColor indexed="64"/>
          <bgColor auto="1"/>
        </patternFill>
      </fill>
    </dxf>
    <dxf>
      <fill>
        <patternFill patternType="none">
          <fgColor indexed="64"/>
          <bgColor auto="1"/>
        </patternFill>
      </fill>
    </dxf>
    <dxf>
      <font>
        <strike val="0"/>
        <outline val="0"/>
        <shadow val="0"/>
        <u val="none"/>
        <vertAlign val="baseline"/>
        <sz val="10"/>
        <color theme="1" tint="0.249977111117893"/>
        <name val="Calibri Light"/>
        <scheme val="none"/>
      </font>
      <numFmt numFmtId="0" formatCode="General"/>
      <fill>
        <patternFill patternType="none">
          <fgColor indexed="64"/>
          <bgColor auto="1"/>
        </patternFill>
      </fill>
      <alignment horizontal="left" vertical="center" textRotation="0" wrapText="1" indent="1" justifyLastLine="0" shrinkToFit="0" readingOrder="0"/>
    </dxf>
    <dxf>
      <font>
        <strike val="0"/>
        <outline val="0"/>
        <shadow val="0"/>
        <u val="none"/>
        <vertAlign val="baseline"/>
        <sz val="10"/>
        <color theme="1" tint="0.249977111117893"/>
        <name val="Calibri Light"/>
        <scheme val="none"/>
      </font>
      <numFmt numFmtId="0" formatCode="General"/>
      <fill>
        <patternFill patternType="none">
          <fgColor indexed="64"/>
          <bgColor auto="1"/>
        </patternFill>
      </fill>
      <alignment horizontal="left" vertical="center" textRotation="0" wrapText="1" indent="1" justifyLastLine="0" shrinkToFit="0" readingOrder="0"/>
    </dxf>
    <dxf>
      <font>
        <strike val="0"/>
        <outline val="0"/>
        <shadow val="0"/>
        <u val="none"/>
        <vertAlign val="baseline"/>
        <sz val="11"/>
        <color theme="1" tint="0.249977111117893"/>
        <name val="Calibri Light"/>
        <scheme val="none"/>
      </font>
      <numFmt numFmtId="164" formatCode="m/d/yyyy"/>
      <fill>
        <patternFill patternType="none">
          <fgColor indexed="64"/>
          <bgColor auto="1"/>
        </patternFill>
      </fill>
      <alignment horizontal="left" vertical="center" textRotation="0" wrapText="1" indent="1" justifyLastLine="0" shrinkToFit="0" readingOrder="0"/>
    </dxf>
    <dxf>
      <font>
        <strike val="0"/>
        <outline val="0"/>
        <shadow val="0"/>
        <u val="none"/>
        <vertAlign val="baseline"/>
        <sz val="11"/>
        <color theme="1" tint="0.249977111117893"/>
        <name val="Calibri Light"/>
        <scheme val="none"/>
      </font>
      <fill>
        <patternFill patternType="none">
          <fgColor indexed="64"/>
          <bgColor auto="1"/>
        </patternFill>
      </fill>
      <alignment horizontal="left" vertical="center" textRotation="0" wrapText="1" indent="1" justifyLastLine="0" shrinkToFit="0" readingOrder="0"/>
    </dxf>
    <dxf>
      <font>
        <strike val="0"/>
        <outline val="0"/>
        <shadow val="0"/>
        <u val="none"/>
        <vertAlign val="baseline"/>
        <sz val="11"/>
        <color theme="1" tint="0.249977111117893"/>
        <name val="Calibri Light"/>
        <scheme val="none"/>
      </font>
      <fill>
        <patternFill patternType="none">
          <fgColor indexed="64"/>
          <bgColor auto="1"/>
        </patternFill>
      </fill>
      <alignment horizontal="left" vertical="center" textRotation="0" wrapText="1" indent="1" justifyLastLine="0" shrinkToFit="0" readingOrder="0"/>
    </dxf>
    <dxf>
      <font>
        <strike val="0"/>
        <outline val="0"/>
        <shadow val="0"/>
        <u val="none"/>
        <vertAlign val="baseline"/>
        <sz val="11"/>
        <color theme="1" tint="0.249977111117893"/>
        <name val="Calibri Light"/>
        <scheme val="none"/>
      </font>
      <fill>
        <patternFill patternType="none">
          <fgColor indexed="64"/>
          <bgColor auto="1"/>
        </patternFill>
      </fill>
      <alignment horizontal="left" vertical="center" textRotation="0" wrapText="1" indent="1" justifyLastLine="0" shrinkToFit="0" readingOrder="0"/>
    </dxf>
    <dxf>
      <font>
        <strike val="0"/>
        <outline val="0"/>
        <shadow val="0"/>
        <u val="none"/>
        <vertAlign val="baseline"/>
        <sz val="11"/>
        <color theme="1" tint="0.249977111117893"/>
        <name val="Calibri Light"/>
        <scheme val="none"/>
      </font>
      <fill>
        <patternFill patternType="none">
          <fgColor indexed="64"/>
          <bgColor auto="1"/>
        </patternFill>
      </fill>
      <alignment horizontal="left" vertical="center" textRotation="0" wrapText="1" indent="1" justifyLastLine="0" shrinkToFit="0" readingOrder="0"/>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theme="4" tint="0.59999389629810485"/>
          <bgColor theme="4" tint="0.59999389629810485"/>
        </patternFill>
      </fill>
    </dxf>
    <dxf>
      <fill>
        <patternFill patternType="solid">
          <fgColor theme="4" tint="0.59999389629810485"/>
          <bgColor theme="4" tint="0.59999389629810485"/>
        </patternFill>
      </fill>
    </dxf>
    <dxf>
      <font>
        <b/>
        <color theme="0"/>
      </font>
      <fill>
        <patternFill patternType="solid">
          <fgColor theme="4"/>
          <bgColor theme="4"/>
        </patternFill>
      </fill>
    </dxf>
    <dxf>
      <font>
        <b/>
        <color theme="0"/>
      </font>
      <fill>
        <patternFill patternType="solid">
          <fgColor theme="4"/>
          <bgColor theme="4"/>
        </patternFill>
      </fill>
    </dxf>
    <dxf>
      <font>
        <b/>
        <color theme="0"/>
      </font>
      <fill>
        <patternFill patternType="solid">
          <fgColor theme="4"/>
          <bgColor theme="4"/>
        </patternFill>
      </fill>
      <border>
        <top style="thick">
          <color theme="0"/>
        </top>
      </border>
    </dxf>
    <dxf>
      <font>
        <color theme="3" tint="0.39994506668294322"/>
      </font>
      <fill>
        <patternFill patternType="solid">
          <fgColor theme="0"/>
          <bgColor theme="0"/>
        </patternFill>
      </fill>
      <border>
        <bottom style="thick">
          <color theme="0"/>
        </bottom>
      </border>
    </dxf>
    <dxf>
      <font>
        <color theme="1"/>
      </font>
      <fill>
        <patternFill patternType="solid">
          <fgColor theme="0"/>
          <bgColor rgb="FFECF2FA"/>
        </patternFill>
      </fill>
      <border>
        <vertical style="thin">
          <color theme="0"/>
        </vertical>
        <horizontal style="thin">
          <color theme="0"/>
        </horizontal>
      </border>
    </dxf>
  </dxfs>
  <tableStyles count="1" defaultTableStyle="TableStyleMedium2" defaultPivotStyle="PivotStyleMedium9">
    <tableStyle name="TableStyleMedium9 2" pivot="0" count="7" xr9:uid="{00000000-0011-0000-FFFF-FFFF00000000}">
      <tableStyleElement type="wholeTable" dxfId="34"/>
      <tableStyleElement type="headerRow" dxfId="33"/>
      <tableStyleElement type="totalRow" dxfId="32"/>
      <tableStyleElement type="firstColumn" dxfId="31"/>
      <tableStyleElement type="lastColumn" dxfId="30"/>
      <tableStyleElement type="firstRowStripe" dxfId="29"/>
      <tableStyleElement type="firstColumnStripe" dxfId="28"/>
    </tableStyle>
  </tableStyles>
  <colors>
    <mruColors>
      <color rgb="FFECF2FA"/>
      <color rgb="FFDBE2F5"/>
      <color rgb="FF066AB6"/>
      <color rgb="FFDAE7F6"/>
      <color rgb="FFC7DAF1"/>
      <color rgb="FFCCECFF"/>
      <color rgb="FF4792CB"/>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1041;&#1044; &#1040;&#1074;&#1090;&#1086;&#1088;&#1086;&#1074;'!A1"/><Relationship Id="rId3" Type="http://schemas.openxmlformats.org/officeDocument/2006/relationships/hyperlink" Target="#'&#1057;&#1083;&#1091;&#1078;&#1077;&#1073;&#1085;&#1086;&#1077; &#1079;&#1072;&#1076;&#1072;&#1085;&#1080;&#1077;'!A1"/><Relationship Id="rId7" Type="http://schemas.openxmlformats.org/officeDocument/2006/relationships/image" Target="../media/image2.png"/><Relationship Id="rId2" Type="http://schemas.openxmlformats.org/officeDocument/2006/relationships/hyperlink" Target="#&#1040;&#1074;&#1090;&#1086;&#1088;&#1099;!A1"/><Relationship Id="rId1" Type="http://schemas.openxmlformats.org/officeDocument/2006/relationships/hyperlink" Target="#&#1056;&#1048;&#1044;!A1"/><Relationship Id="rId6" Type="http://schemas.openxmlformats.org/officeDocument/2006/relationships/image" Target="../media/image1.jpg"/><Relationship Id="rId5" Type="http://schemas.openxmlformats.org/officeDocument/2006/relationships/hyperlink" Target="#&#1053;&#1072;&#1089;&#1090;&#1088;&#1086;&#1081;&#1082;&#1080;!A1"/><Relationship Id="rId4" Type="http://schemas.openxmlformats.org/officeDocument/2006/relationships/hyperlink" Target="#'&#1055;&#1086;&#1076;&#1072;&#1095;&#1072; &#1079;&#1072;&#1103;&#1074;&#1082;&#1080;'!A1"/></Relationships>
</file>

<file path=xl/drawings/_rels/drawing2.xml.rels><?xml version="1.0" encoding="UTF-8" standalone="yes"?>
<Relationships xmlns="http://schemas.openxmlformats.org/package/2006/relationships"><Relationship Id="rId8" Type="http://schemas.openxmlformats.org/officeDocument/2006/relationships/hyperlink" Target="#'&#1041;&#1044; &#1040;&#1074;&#1090;&#1086;&#1088;&#1086;&#1074;'!A1"/><Relationship Id="rId3" Type="http://schemas.openxmlformats.org/officeDocument/2006/relationships/hyperlink" Target="#'&#1057;&#1083;&#1091;&#1078;&#1077;&#1073;&#1085;&#1086;&#1077; &#1079;&#1072;&#1076;&#1072;&#1085;&#1080;&#1077;'!A1"/><Relationship Id="rId7" Type="http://schemas.openxmlformats.org/officeDocument/2006/relationships/image" Target="../media/image2.png"/><Relationship Id="rId2" Type="http://schemas.openxmlformats.org/officeDocument/2006/relationships/hyperlink" Target="#&#1040;&#1074;&#1090;&#1086;&#1088;&#1099;!A1"/><Relationship Id="rId1" Type="http://schemas.openxmlformats.org/officeDocument/2006/relationships/hyperlink" Target="#&#1056;&#1048;&#1044;!A1"/><Relationship Id="rId6" Type="http://schemas.openxmlformats.org/officeDocument/2006/relationships/image" Target="../media/image1.jpg"/><Relationship Id="rId5" Type="http://schemas.openxmlformats.org/officeDocument/2006/relationships/hyperlink" Target="#&#1053;&#1072;&#1089;&#1090;&#1088;&#1086;&#1081;&#1082;&#1080;!A1"/><Relationship Id="rId4" Type="http://schemas.openxmlformats.org/officeDocument/2006/relationships/hyperlink" Target="#'&#1055;&#1086;&#1076;&#1072;&#1095;&#1072; &#1079;&#1072;&#1103;&#1074;&#1082;&#1080;'!A1"/></Relationships>
</file>

<file path=xl/drawings/_rels/drawing3.xml.rels><?xml version="1.0" encoding="UTF-8" standalone="yes"?>
<Relationships xmlns="http://schemas.openxmlformats.org/package/2006/relationships"><Relationship Id="rId8" Type="http://schemas.openxmlformats.org/officeDocument/2006/relationships/hyperlink" Target="#'&#1041;&#1044; &#1040;&#1074;&#1090;&#1086;&#1088;&#1086;&#1074;'!A1"/><Relationship Id="rId3" Type="http://schemas.openxmlformats.org/officeDocument/2006/relationships/hyperlink" Target="#'&#1057;&#1083;&#1091;&#1078;&#1077;&#1073;&#1085;&#1086;&#1077; &#1079;&#1072;&#1076;&#1072;&#1085;&#1080;&#1077;'!A1"/><Relationship Id="rId7" Type="http://schemas.openxmlformats.org/officeDocument/2006/relationships/image" Target="../media/image2.png"/><Relationship Id="rId2" Type="http://schemas.openxmlformats.org/officeDocument/2006/relationships/hyperlink" Target="#&#1040;&#1074;&#1090;&#1086;&#1088;&#1099;!A1"/><Relationship Id="rId1" Type="http://schemas.openxmlformats.org/officeDocument/2006/relationships/hyperlink" Target="#&#1056;&#1048;&#1044;!A1"/><Relationship Id="rId6" Type="http://schemas.openxmlformats.org/officeDocument/2006/relationships/image" Target="../media/image1.jpg"/><Relationship Id="rId5" Type="http://schemas.openxmlformats.org/officeDocument/2006/relationships/hyperlink" Target="#&#1053;&#1072;&#1089;&#1090;&#1088;&#1086;&#1081;&#1082;&#1080;!A1"/><Relationship Id="rId4" Type="http://schemas.openxmlformats.org/officeDocument/2006/relationships/hyperlink" Target="#'&#1055;&#1086;&#1076;&#1072;&#1095;&#1072; &#1079;&#1072;&#1103;&#1074;&#1082;&#1080;'!A1"/></Relationships>
</file>

<file path=xl/drawings/_rels/drawing4.xml.rels><?xml version="1.0" encoding="UTF-8" standalone="yes"?>
<Relationships xmlns="http://schemas.openxmlformats.org/package/2006/relationships"><Relationship Id="rId8" Type="http://schemas.openxmlformats.org/officeDocument/2006/relationships/hyperlink" Target="#'&#1041;&#1044; &#1040;&#1074;&#1090;&#1086;&#1088;&#1086;&#1074;'!A1"/><Relationship Id="rId3" Type="http://schemas.openxmlformats.org/officeDocument/2006/relationships/hyperlink" Target="#'&#1057;&#1083;&#1091;&#1078;&#1077;&#1073;&#1085;&#1086;&#1077; &#1079;&#1072;&#1076;&#1072;&#1085;&#1080;&#1077;'!A1"/><Relationship Id="rId7" Type="http://schemas.openxmlformats.org/officeDocument/2006/relationships/image" Target="../media/image2.png"/><Relationship Id="rId2" Type="http://schemas.openxmlformats.org/officeDocument/2006/relationships/hyperlink" Target="#&#1040;&#1074;&#1090;&#1086;&#1088;&#1099;!A1"/><Relationship Id="rId1" Type="http://schemas.openxmlformats.org/officeDocument/2006/relationships/hyperlink" Target="#&#1056;&#1048;&#1044;!A1"/><Relationship Id="rId6" Type="http://schemas.openxmlformats.org/officeDocument/2006/relationships/image" Target="../media/image1.jpg"/><Relationship Id="rId5" Type="http://schemas.openxmlformats.org/officeDocument/2006/relationships/hyperlink" Target="#&#1053;&#1072;&#1089;&#1090;&#1088;&#1086;&#1081;&#1082;&#1080;!A1"/><Relationship Id="rId4" Type="http://schemas.openxmlformats.org/officeDocument/2006/relationships/hyperlink" Target="#'&#1055;&#1086;&#1076;&#1072;&#1095;&#1072; &#1079;&#1072;&#1103;&#1074;&#1082;&#1080;'!A1"/></Relationships>
</file>

<file path=xl/drawings/_rels/drawing5.xml.rels><?xml version="1.0" encoding="UTF-8" standalone="yes"?>
<Relationships xmlns="http://schemas.openxmlformats.org/package/2006/relationships"><Relationship Id="rId8" Type="http://schemas.openxmlformats.org/officeDocument/2006/relationships/hyperlink" Target="#'&#1041;&#1044; &#1040;&#1074;&#1090;&#1086;&#1088;&#1086;&#1074;'!A1"/><Relationship Id="rId3" Type="http://schemas.openxmlformats.org/officeDocument/2006/relationships/hyperlink" Target="#'&#1057;&#1083;&#1091;&#1078;&#1077;&#1073;&#1085;&#1086;&#1077; &#1079;&#1072;&#1076;&#1072;&#1085;&#1080;&#1077;'!A1"/><Relationship Id="rId7" Type="http://schemas.openxmlformats.org/officeDocument/2006/relationships/image" Target="../media/image2.png"/><Relationship Id="rId2" Type="http://schemas.openxmlformats.org/officeDocument/2006/relationships/hyperlink" Target="#&#1040;&#1074;&#1090;&#1086;&#1088;&#1099;!A1"/><Relationship Id="rId1" Type="http://schemas.openxmlformats.org/officeDocument/2006/relationships/hyperlink" Target="#&#1056;&#1048;&#1044;!A1"/><Relationship Id="rId6" Type="http://schemas.openxmlformats.org/officeDocument/2006/relationships/image" Target="../media/image1.jpg"/><Relationship Id="rId5" Type="http://schemas.openxmlformats.org/officeDocument/2006/relationships/hyperlink" Target="#&#1053;&#1072;&#1089;&#1090;&#1088;&#1086;&#1081;&#1082;&#1080;!A1"/><Relationship Id="rId4" Type="http://schemas.openxmlformats.org/officeDocument/2006/relationships/hyperlink" Target="#'&#1055;&#1086;&#1076;&#1072;&#1095;&#1072; &#1079;&#1072;&#1103;&#1074;&#1082;&#1080;'!A1"/></Relationships>
</file>

<file path=xl/drawings/_rels/drawing6.xml.rels><?xml version="1.0" encoding="UTF-8" standalone="yes"?>
<Relationships xmlns="http://schemas.openxmlformats.org/package/2006/relationships"><Relationship Id="rId8" Type="http://schemas.openxmlformats.org/officeDocument/2006/relationships/hyperlink" Target="#'&#1041;&#1044; &#1040;&#1074;&#1090;&#1086;&#1088;&#1086;&#1074;'!A1"/><Relationship Id="rId3" Type="http://schemas.openxmlformats.org/officeDocument/2006/relationships/hyperlink" Target="#'&#1057;&#1083;&#1091;&#1078;&#1077;&#1073;&#1085;&#1086;&#1077; &#1079;&#1072;&#1076;&#1072;&#1085;&#1080;&#1077;'!A1"/><Relationship Id="rId7" Type="http://schemas.openxmlformats.org/officeDocument/2006/relationships/image" Target="../media/image2.png"/><Relationship Id="rId2" Type="http://schemas.openxmlformats.org/officeDocument/2006/relationships/hyperlink" Target="#&#1040;&#1074;&#1090;&#1086;&#1088;&#1099;!A1"/><Relationship Id="rId1" Type="http://schemas.openxmlformats.org/officeDocument/2006/relationships/hyperlink" Target="#&#1056;&#1048;&#1044;!A1"/><Relationship Id="rId6" Type="http://schemas.openxmlformats.org/officeDocument/2006/relationships/image" Target="../media/image1.jpg"/><Relationship Id="rId5" Type="http://schemas.openxmlformats.org/officeDocument/2006/relationships/hyperlink" Target="#&#1053;&#1072;&#1089;&#1090;&#1088;&#1086;&#1081;&#1082;&#1080;!A1"/><Relationship Id="rId4" Type="http://schemas.openxmlformats.org/officeDocument/2006/relationships/hyperlink" Target="#'&#1055;&#1086;&#1076;&#1072;&#1095;&#1072; &#1079;&#1072;&#1103;&#1074;&#1082;&#1080;'!A1"/></Relationships>
</file>

<file path=xl/drawings/_rels/drawing7.xml.rels><?xml version="1.0" encoding="UTF-8" standalone="yes"?>
<Relationships xmlns="http://schemas.openxmlformats.org/package/2006/relationships"><Relationship Id="rId8" Type="http://schemas.openxmlformats.org/officeDocument/2006/relationships/hyperlink" Target="#'&#1041;&#1044; &#1040;&#1074;&#1090;&#1086;&#1088;&#1086;&#1074;'!A1"/><Relationship Id="rId3" Type="http://schemas.openxmlformats.org/officeDocument/2006/relationships/hyperlink" Target="#'&#1057;&#1083;&#1091;&#1078;&#1077;&#1073;&#1085;&#1086;&#1077; &#1079;&#1072;&#1076;&#1072;&#1085;&#1080;&#1077;'!A1"/><Relationship Id="rId7" Type="http://schemas.openxmlformats.org/officeDocument/2006/relationships/image" Target="../media/image2.png"/><Relationship Id="rId2" Type="http://schemas.openxmlformats.org/officeDocument/2006/relationships/hyperlink" Target="#&#1040;&#1074;&#1090;&#1086;&#1088;&#1099;!A1"/><Relationship Id="rId1" Type="http://schemas.openxmlformats.org/officeDocument/2006/relationships/hyperlink" Target="#&#1056;&#1048;&#1044;!A1"/><Relationship Id="rId6" Type="http://schemas.openxmlformats.org/officeDocument/2006/relationships/image" Target="../media/image1.jpg"/><Relationship Id="rId5" Type="http://schemas.openxmlformats.org/officeDocument/2006/relationships/hyperlink" Target="#&#1053;&#1072;&#1089;&#1090;&#1088;&#1086;&#1081;&#1082;&#1080;!A1"/><Relationship Id="rId4" Type="http://schemas.openxmlformats.org/officeDocument/2006/relationships/hyperlink" Target="#'&#1055;&#1086;&#1076;&#1072;&#1095;&#1072; &#1079;&#1072;&#1103;&#1074;&#1082;&#1080;'!A1"/></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1</xdr:col>
      <xdr:colOff>9526</xdr:colOff>
      <xdr:row>10</xdr:row>
      <xdr:rowOff>67593</xdr:rowOff>
    </xdr:from>
    <xdr:to>
      <xdr:col>7</xdr:col>
      <xdr:colOff>10426</xdr:colOff>
      <xdr:row>12</xdr:row>
      <xdr:rowOff>154593</xdr:rowOff>
    </xdr:to>
    <xdr:sp macro="" textlink="">
      <xdr:nvSpPr>
        <xdr:cNvPr id="20" name="s_r_ria">
          <a:hlinkClick xmlns:r="http://schemas.openxmlformats.org/officeDocument/2006/relationships" r:id="rId1"/>
          <a:extLst>
            <a:ext uri="{FF2B5EF4-FFF2-40B4-BE49-F238E27FC236}">
              <a16:creationId xmlns:a16="http://schemas.microsoft.com/office/drawing/2014/main" id="{00000000-0008-0000-0100-000014000000}"/>
            </a:ext>
          </a:extLst>
        </xdr:cNvPr>
        <xdr:cNvSpPr/>
      </xdr:nvSpPr>
      <xdr:spPr>
        <a:xfrm>
          <a:off x="180976" y="2039268"/>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n w="3175">
                <a:noFill/>
              </a:ln>
              <a:solidFill>
                <a:schemeClr val="bg1"/>
              </a:solidFill>
              <a:latin typeface="+mn-lt"/>
              <a:ea typeface="Segoe UI" panose="020B0502040204020203" pitchFamily="34" charset="0"/>
              <a:cs typeface="Segoe UI" panose="020B0502040204020203" pitchFamily="34" charset="0"/>
            </a:rPr>
            <a:t>Р</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И</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Д</a:t>
          </a:r>
          <a:endParaRPr lang="en-US" sz="1400" b="1">
            <a:ln w="3175">
              <a:noFill/>
            </a:ln>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10388</xdr:colOff>
      <xdr:row>13</xdr:row>
      <xdr:rowOff>70665</xdr:rowOff>
    </xdr:from>
    <xdr:to>
      <xdr:col>7</xdr:col>
      <xdr:colOff>9525</xdr:colOff>
      <xdr:row>15</xdr:row>
      <xdr:rowOff>157665</xdr:rowOff>
    </xdr:to>
    <xdr:sp macro="" textlink="">
      <xdr:nvSpPr>
        <xdr:cNvPr id="21" name="s_r_authors">
          <a:hlinkClick xmlns:r="http://schemas.openxmlformats.org/officeDocument/2006/relationships" r:id="rId2"/>
          <a:extLst>
            <a:ext uri="{FF2B5EF4-FFF2-40B4-BE49-F238E27FC236}">
              <a16:creationId xmlns:a16="http://schemas.microsoft.com/office/drawing/2014/main" id="{00000000-0008-0000-0100-000015000000}"/>
            </a:ext>
          </a:extLst>
        </xdr:cNvPr>
        <xdr:cNvSpPr/>
      </xdr:nvSpPr>
      <xdr:spPr>
        <a:xfrm>
          <a:off x="181838" y="2613840"/>
          <a:ext cx="1942237"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Авторы</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8490</xdr:colOff>
      <xdr:row>16</xdr:row>
      <xdr:rowOff>76202</xdr:rowOff>
    </xdr:from>
    <xdr:to>
      <xdr:col>7</xdr:col>
      <xdr:colOff>9390</xdr:colOff>
      <xdr:row>18</xdr:row>
      <xdr:rowOff>163202</xdr:rowOff>
    </xdr:to>
    <xdr:sp macro="" textlink="">
      <xdr:nvSpPr>
        <xdr:cNvPr id="22" name="s_r_task">
          <a:hlinkClick xmlns:r="http://schemas.openxmlformats.org/officeDocument/2006/relationships" r:id="rId3"/>
          <a:extLst>
            <a:ext uri="{FF2B5EF4-FFF2-40B4-BE49-F238E27FC236}">
              <a16:creationId xmlns:a16="http://schemas.microsoft.com/office/drawing/2014/main" id="{00000000-0008-0000-0100-000016000000}"/>
            </a:ext>
          </a:extLst>
        </xdr:cNvPr>
        <xdr:cNvSpPr/>
      </xdr:nvSpPr>
      <xdr:spPr>
        <a:xfrm>
          <a:off x="179940" y="3190877"/>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bg1"/>
              </a:solidFill>
              <a:latin typeface="+mn-lt"/>
              <a:ea typeface="Segoe UI" panose="020B0502040204020203" pitchFamily="34" charset="0"/>
              <a:cs typeface="Segoe UI" panose="020B0502040204020203" pitchFamily="34" charset="0"/>
            </a:rPr>
            <a:t>Служебное задание</a:t>
          </a:r>
          <a:endParaRPr lang="en-US" sz="1400" b="1">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9844</xdr:colOff>
      <xdr:row>19</xdr:row>
      <xdr:rowOff>79056</xdr:rowOff>
    </xdr:from>
    <xdr:to>
      <xdr:col>7</xdr:col>
      <xdr:colOff>10610</xdr:colOff>
      <xdr:row>21</xdr:row>
      <xdr:rowOff>166056</xdr:rowOff>
    </xdr:to>
    <xdr:sp macro="" textlink="">
      <xdr:nvSpPr>
        <xdr:cNvPr id="23" name="s_r_submit">
          <a:hlinkClick xmlns:r="http://schemas.openxmlformats.org/officeDocument/2006/relationships" r:id="rId4"/>
          <a:extLst>
            <a:ext uri="{FF2B5EF4-FFF2-40B4-BE49-F238E27FC236}">
              <a16:creationId xmlns:a16="http://schemas.microsoft.com/office/drawing/2014/main" id="{00000000-0008-0000-0100-000017000000}"/>
            </a:ext>
          </a:extLst>
        </xdr:cNvPr>
        <xdr:cNvSpPr/>
      </xdr:nvSpPr>
      <xdr:spPr>
        <a:xfrm>
          <a:off x="181294" y="3765231"/>
          <a:ext cx="1943866"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Подача заявки</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10537</xdr:colOff>
      <xdr:row>23</xdr:row>
      <xdr:rowOff>54459</xdr:rowOff>
    </xdr:from>
    <xdr:to>
      <xdr:col>7</xdr:col>
      <xdr:colOff>10205</xdr:colOff>
      <xdr:row>25</xdr:row>
      <xdr:rowOff>141459</xdr:rowOff>
    </xdr:to>
    <xdr:sp macro="" textlink="">
      <xdr:nvSpPr>
        <xdr:cNvPr id="24" name="s_r_authorsdb">
          <a:hlinkClick xmlns:r="http://schemas.openxmlformats.org/officeDocument/2006/relationships" r:id="rId5"/>
          <a:extLst>
            <a:ext uri="{FF2B5EF4-FFF2-40B4-BE49-F238E27FC236}">
              <a16:creationId xmlns:a16="http://schemas.microsoft.com/office/drawing/2014/main" id="{00000000-0008-0000-0100-000018000000}"/>
            </a:ext>
          </a:extLst>
        </xdr:cNvPr>
        <xdr:cNvSpPr/>
      </xdr:nvSpPr>
      <xdr:spPr>
        <a:xfrm>
          <a:off x="181987" y="4502634"/>
          <a:ext cx="1942768" cy="4680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ru-RU" sz="1400" b="1">
              <a:solidFill>
                <a:schemeClr val="tx2">
                  <a:lumMod val="60000"/>
                  <a:lumOff val="40000"/>
                </a:schemeClr>
              </a:solidFill>
              <a:latin typeface="+mn-lt"/>
              <a:ea typeface="Segoe UI" panose="020B0502040204020203" pitchFamily="34" charset="0"/>
              <a:cs typeface="Segoe UI" panose="020B0502040204020203" pitchFamily="34" charset="0"/>
            </a:rPr>
            <a:t>Настройки</a:t>
          </a:r>
        </a:p>
      </xdr:txBody>
    </xdr:sp>
    <xdr:clientData fPrintsWithSheet="0"/>
  </xdr:twoCellAnchor>
  <xdr:twoCellAnchor editAs="oneCell">
    <xdr:from>
      <xdr:col>1</xdr:col>
      <xdr:colOff>177817</xdr:colOff>
      <xdr:row>1</xdr:row>
      <xdr:rowOff>129993</xdr:rowOff>
    </xdr:from>
    <xdr:to>
      <xdr:col>2</xdr:col>
      <xdr:colOff>321967</xdr:colOff>
      <xdr:row>3</xdr:row>
      <xdr:rowOff>121743</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9267" y="291918"/>
          <a:ext cx="468000" cy="468000"/>
        </a:xfrm>
        <a:prstGeom prst="rect">
          <a:avLst/>
        </a:prstGeom>
        <a:ln>
          <a:noFill/>
        </a:ln>
      </xdr:spPr>
    </xdr:pic>
    <xdr:clientData/>
  </xdr:twoCellAnchor>
  <xdr:twoCellAnchor editAs="oneCell">
    <xdr:from>
      <xdr:col>3</xdr:col>
      <xdr:colOff>104627</xdr:colOff>
      <xdr:row>1</xdr:row>
      <xdr:rowOff>234446</xdr:rowOff>
    </xdr:from>
    <xdr:to>
      <xdr:col>6</xdr:col>
      <xdr:colOff>133202</xdr:colOff>
      <xdr:row>3</xdr:row>
      <xdr:rowOff>110621</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23777" y="396371"/>
          <a:ext cx="1000125" cy="352425"/>
        </a:xfrm>
        <a:prstGeom prst="rect">
          <a:avLst/>
        </a:prstGeom>
        <a:ln>
          <a:noFill/>
        </a:ln>
      </xdr:spPr>
    </xdr:pic>
    <xdr:clientData/>
  </xdr:twoCellAnchor>
  <xdr:twoCellAnchor editAs="oneCell">
    <xdr:from>
      <xdr:col>1</xdr:col>
      <xdr:colOff>9525</xdr:colOff>
      <xdr:row>26</xdr:row>
      <xdr:rowOff>57150</xdr:rowOff>
    </xdr:from>
    <xdr:to>
      <xdr:col>7</xdr:col>
      <xdr:colOff>10425</xdr:colOff>
      <xdr:row>28</xdr:row>
      <xdr:rowOff>144150</xdr:rowOff>
    </xdr:to>
    <xdr:sp macro="" textlink="">
      <xdr:nvSpPr>
        <xdr:cNvPr id="27" name="s_r_authorsdb">
          <a:hlinkClick xmlns:r="http://schemas.openxmlformats.org/officeDocument/2006/relationships" r:id="rId8"/>
          <a:extLst>
            <a:ext uri="{FF2B5EF4-FFF2-40B4-BE49-F238E27FC236}">
              <a16:creationId xmlns:a16="http://schemas.microsoft.com/office/drawing/2014/main" id="{00000000-0008-0000-0100-00001B000000}"/>
            </a:ext>
          </a:extLst>
        </xdr:cNvPr>
        <xdr:cNvSpPr/>
      </xdr:nvSpPr>
      <xdr:spPr>
        <a:xfrm>
          <a:off x="180975" y="5076825"/>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База данных авторов</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9526</xdr:colOff>
      <xdr:row>9</xdr:row>
      <xdr:rowOff>258093</xdr:rowOff>
    </xdr:from>
    <xdr:to>
      <xdr:col>7</xdr:col>
      <xdr:colOff>10426</xdr:colOff>
      <xdr:row>10</xdr:row>
      <xdr:rowOff>297468</xdr:rowOff>
    </xdr:to>
    <xdr:sp macro="" textlink="">
      <xdr:nvSpPr>
        <xdr:cNvPr id="9" name="s_r_ria">
          <a:hlinkClick xmlns:r="http://schemas.openxmlformats.org/officeDocument/2006/relationships" r:id="rId1"/>
          <a:extLst>
            <a:ext uri="{FF2B5EF4-FFF2-40B4-BE49-F238E27FC236}">
              <a16:creationId xmlns:a16="http://schemas.microsoft.com/office/drawing/2014/main" id="{00000000-0008-0000-0200-000009000000}"/>
            </a:ext>
          </a:extLst>
        </xdr:cNvPr>
        <xdr:cNvSpPr/>
      </xdr:nvSpPr>
      <xdr:spPr>
        <a:xfrm>
          <a:off x="180976" y="2039268"/>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n w="3175">
                <a:noFill/>
              </a:ln>
              <a:solidFill>
                <a:schemeClr val="bg1"/>
              </a:solidFill>
              <a:latin typeface="+mn-lt"/>
              <a:ea typeface="Segoe UI" panose="020B0502040204020203" pitchFamily="34" charset="0"/>
              <a:cs typeface="Segoe UI" panose="020B0502040204020203" pitchFamily="34" charset="0"/>
            </a:rPr>
            <a:t>Р</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И</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Д</a:t>
          </a:r>
          <a:endParaRPr lang="en-US" sz="1400" b="1">
            <a:ln w="3175">
              <a:noFill/>
            </a:ln>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absolute">
    <xdr:from>
      <xdr:col>1</xdr:col>
      <xdr:colOff>10388</xdr:colOff>
      <xdr:row>10</xdr:row>
      <xdr:rowOff>404040</xdr:rowOff>
    </xdr:from>
    <xdr:to>
      <xdr:col>7</xdr:col>
      <xdr:colOff>9525</xdr:colOff>
      <xdr:row>12</xdr:row>
      <xdr:rowOff>14790</xdr:rowOff>
    </xdr:to>
    <xdr:sp macro="" textlink="">
      <xdr:nvSpPr>
        <xdr:cNvPr id="10" name="s_r_authors">
          <a:hlinkClick xmlns:r="http://schemas.openxmlformats.org/officeDocument/2006/relationships" r:id="rId2"/>
          <a:extLst>
            <a:ext uri="{FF2B5EF4-FFF2-40B4-BE49-F238E27FC236}">
              <a16:creationId xmlns:a16="http://schemas.microsoft.com/office/drawing/2014/main" id="{00000000-0008-0000-0200-00000A000000}"/>
            </a:ext>
          </a:extLst>
        </xdr:cNvPr>
        <xdr:cNvSpPr/>
      </xdr:nvSpPr>
      <xdr:spPr>
        <a:xfrm>
          <a:off x="181838" y="2613840"/>
          <a:ext cx="1942237"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Авторы</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absolute">
    <xdr:from>
      <xdr:col>1</xdr:col>
      <xdr:colOff>8490</xdr:colOff>
      <xdr:row>12</xdr:row>
      <xdr:rowOff>123827</xdr:rowOff>
    </xdr:from>
    <xdr:to>
      <xdr:col>7</xdr:col>
      <xdr:colOff>9390</xdr:colOff>
      <xdr:row>13</xdr:row>
      <xdr:rowOff>163202</xdr:rowOff>
    </xdr:to>
    <xdr:sp macro="" textlink="">
      <xdr:nvSpPr>
        <xdr:cNvPr id="11" name="s_r_task">
          <a:hlinkClick xmlns:r="http://schemas.openxmlformats.org/officeDocument/2006/relationships" r:id="rId3"/>
          <a:extLst>
            <a:ext uri="{FF2B5EF4-FFF2-40B4-BE49-F238E27FC236}">
              <a16:creationId xmlns:a16="http://schemas.microsoft.com/office/drawing/2014/main" id="{00000000-0008-0000-0200-00000B000000}"/>
            </a:ext>
          </a:extLst>
        </xdr:cNvPr>
        <xdr:cNvSpPr/>
      </xdr:nvSpPr>
      <xdr:spPr>
        <a:xfrm>
          <a:off x="179940" y="3190877"/>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bg1"/>
              </a:solidFill>
              <a:latin typeface="+mn-lt"/>
              <a:ea typeface="Segoe UI" panose="020B0502040204020203" pitchFamily="34" charset="0"/>
              <a:cs typeface="Segoe UI" panose="020B0502040204020203" pitchFamily="34" charset="0"/>
            </a:rPr>
            <a:t>Служебное задание</a:t>
          </a:r>
          <a:endParaRPr lang="en-US" sz="1400" b="1">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absolute">
    <xdr:from>
      <xdr:col>1</xdr:col>
      <xdr:colOff>9844</xdr:colOff>
      <xdr:row>13</xdr:row>
      <xdr:rowOff>269556</xdr:rowOff>
    </xdr:from>
    <xdr:to>
      <xdr:col>7</xdr:col>
      <xdr:colOff>10610</xdr:colOff>
      <xdr:row>14</xdr:row>
      <xdr:rowOff>308931</xdr:rowOff>
    </xdr:to>
    <xdr:sp macro="" textlink="">
      <xdr:nvSpPr>
        <xdr:cNvPr id="12" name="s_r_submit">
          <a:hlinkClick xmlns:r="http://schemas.openxmlformats.org/officeDocument/2006/relationships" r:id="rId4"/>
          <a:extLst>
            <a:ext uri="{FF2B5EF4-FFF2-40B4-BE49-F238E27FC236}">
              <a16:creationId xmlns:a16="http://schemas.microsoft.com/office/drawing/2014/main" id="{00000000-0008-0000-0200-00000C000000}"/>
            </a:ext>
          </a:extLst>
        </xdr:cNvPr>
        <xdr:cNvSpPr/>
      </xdr:nvSpPr>
      <xdr:spPr>
        <a:xfrm>
          <a:off x="181294" y="3765231"/>
          <a:ext cx="1943866"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Подача заявки</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absolute">
    <xdr:from>
      <xdr:col>1</xdr:col>
      <xdr:colOff>10537</xdr:colOff>
      <xdr:row>15</xdr:row>
      <xdr:rowOff>149709</xdr:rowOff>
    </xdr:from>
    <xdr:to>
      <xdr:col>7</xdr:col>
      <xdr:colOff>10205</xdr:colOff>
      <xdr:row>16</xdr:row>
      <xdr:rowOff>189084</xdr:rowOff>
    </xdr:to>
    <xdr:sp macro="" textlink="">
      <xdr:nvSpPr>
        <xdr:cNvPr id="13" name="s_r_authorsdb">
          <a:hlinkClick xmlns:r="http://schemas.openxmlformats.org/officeDocument/2006/relationships" r:id="rId5"/>
          <a:extLst>
            <a:ext uri="{FF2B5EF4-FFF2-40B4-BE49-F238E27FC236}">
              <a16:creationId xmlns:a16="http://schemas.microsoft.com/office/drawing/2014/main" id="{00000000-0008-0000-0200-00000D000000}"/>
            </a:ext>
          </a:extLst>
        </xdr:cNvPr>
        <xdr:cNvSpPr/>
      </xdr:nvSpPr>
      <xdr:spPr>
        <a:xfrm>
          <a:off x="181987" y="4502634"/>
          <a:ext cx="1942768" cy="468000"/>
        </a:xfrm>
        <a:prstGeom prst="rect">
          <a:avLst/>
        </a:prstGeom>
        <a:solidFill>
          <a:schemeClr val="bg1">
            <a:lumMod val="85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lt1"/>
              </a:solidFill>
              <a:latin typeface="+mn-lt"/>
              <a:ea typeface="Segoe UI" panose="020B0502040204020203" pitchFamily="34" charset="0"/>
              <a:cs typeface="Segoe UI" panose="020B0502040204020203" pitchFamily="34" charset="0"/>
            </a:rPr>
            <a:t>Настройки</a:t>
          </a:r>
        </a:p>
      </xdr:txBody>
    </xdr:sp>
    <xdr:clientData fPrintsWithSheet="0"/>
  </xdr:twoCellAnchor>
  <xdr:twoCellAnchor editAs="oneCell">
    <xdr:from>
      <xdr:col>1</xdr:col>
      <xdr:colOff>177817</xdr:colOff>
      <xdr:row>1</xdr:row>
      <xdr:rowOff>129993</xdr:rowOff>
    </xdr:from>
    <xdr:to>
      <xdr:col>2</xdr:col>
      <xdr:colOff>321967</xdr:colOff>
      <xdr:row>3</xdr:row>
      <xdr:rowOff>121743</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9267" y="291918"/>
          <a:ext cx="468000" cy="468000"/>
        </a:xfrm>
        <a:prstGeom prst="rect">
          <a:avLst/>
        </a:prstGeom>
        <a:ln>
          <a:noFill/>
        </a:ln>
      </xdr:spPr>
    </xdr:pic>
    <xdr:clientData/>
  </xdr:twoCellAnchor>
  <xdr:twoCellAnchor editAs="oneCell">
    <xdr:from>
      <xdr:col>3</xdr:col>
      <xdr:colOff>104627</xdr:colOff>
      <xdr:row>1</xdr:row>
      <xdr:rowOff>234446</xdr:rowOff>
    </xdr:from>
    <xdr:to>
      <xdr:col>6</xdr:col>
      <xdr:colOff>133202</xdr:colOff>
      <xdr:row>3</xdr:row>
      <xdr:rowOff>110621</xdr:rowOff>
    </xdr:to>
    <xdr:pic>
      <xdr:nvPicPr>
        <xdr:cNvPr id="22" name="Picture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23777" y="396371"/>
          <a:ext cx="1000125" cy="352425"/>
        </a:xfrm>
        <a:prstGeom prst="rect">
          <a:avLst/>
        </a:prstGeom>
        <a:ln>
          <a:noFill/>
        </a:ln>
      </xdr:spPr>
    </xdr:pic>
    <xdr:clientData/>
  </xdr:twoCellAnchor>
  <xdr:twoCellAnchor editAs="absolute">
    <xdr:from>
      <xdr:col>1</xdr:col>
      <xdr:colOff>9525</xdr:colOff>
      <xdr:row>16</xdr:row>
      <xdr:rowOff>295275</xdr:rowOff>
    </xdr:from>
    <xdr:to>
      <xdr:col>7</xdr:col>
      <xdr:colOff>10425</xdr:colOff>
      <xdr:row>17</xdr:row>
      <xdr:rowOff>334650</xdr:rowOff>
    </xdr:to>
    <xdr:sp macro="" textlink="">
      <xdr:nvSpPr>
        <xdr:cNvPr id="23" name="s_r_authorsdb">
          <a:hlinkClick xmlns:r="http://schemas.openxmlformats.org/officeDocument/2006/relationships" r:id="rId8"/>
          <a:extLst>
            <a:ext uri="{FF2B5EF4-FFF2-40B4-BE49-F238E27FC236}">
              <a16:creationId xmlns:a16="http://schemas.microsoft.com/office/drawing/2014/main" id="{00000000-0008-0000-0200-000017000000}"/>
            </a:ext>
          </a:extLst>
        </xdr:cNvPr>
        <xdr:cNvSpPr/>
      </xdr:nvSpPr>
      <xdr:spPr>
        <a:xfrm>
          <a:off x="180975" y="5076825"/>
          <a:ext cx="1944000" cy="4680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ru-RU" sz="1400" b="1">
              <a:solidFill>
                <a:schemeClr val="tx2">
                  <a:lumMod val="60000"/>
                  <a:lumOff val="40000"/>
                </a:schemeClr>
              </a:solidFill>
              <a:latin typeface="+mn-lt"/>
              <a:ea typeface="Segoe UI" panose="020B0502040204020203" pitchFamily="34" charset="0"/>
              <a:cs typeface="Segoe UI" panose="020B0502040204020203" pitchFamily="34" charset="0"/>
            </a:rPr>
            <a:t>База данных авторов</a:t>
          </a:r>
          <a:endParaRPr lang="en-US" sz="1400" b="1">
            <a:solidFill>
              <a:schemeClr val="tx2">
                <a:lumMod val="60000"/>
                <a:lumOff val="40000"/>
              </a:schemeClr>
            </a:solidFill>
            <a:latin typeface="+mn-lt"/>
            <a:ea typeface="Segoe UI" panose="020B0502040204020203" pitchFamily="34" charset="0"/>
            <a:cs typeface="Segoe UI" panose="020B0502040204020203" pitchFamily="34" charset="0"/>
          </a:endParaRPr>
        </a:p>
      </xdr:txBody>
    </xdr:sp>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6</xdr:row>
          <xdr:rowOff>19050</xdr:rowOff>
        </xdr:from>
        <xdr:to>
          <xdr:col>16</xdr:col>
          <xdr:colOff>9525</xdr:colOff>
          <xdr:row>7</xdr:row>
          <xdr:rowOff>142875</xdr:rowOff>
        </xdr:to>
        <xdr:sp macro="" textlink="">
          <xdr:nvSpPr>
            <xdr:cNvPr id="1025" name="ob_ria_type_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7</xdr:row>
          <xdr:rowOff>171450</xdr:rowOff>
        </xdr:from>
        <xdr:to>
          <xdr:col>17</xdr:col>
          <xdr:colOff>457200</xdr:colOff>
          <xdr:row>10</xdr:row>
          <xdr:rowOff>47625</xdr:rowOff>
        </xdr:to>
        <xdr:sp macro="" textlink="">
          <xdr:nvSpPr>
            <xdr:cNvPr id="1026" name="ob_ria_type_2"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10</xdr:row>
          <xdr:rowOff>142875</xdr:rowOff>
        </xdr:from>
        <xdr:to>
          <xdr:col>17</xdr:col>
          <xdr:colOff>476250</xdr:colOff>
          <xdr:row>13</xdr:row>
          <xdr:rowOff>19050</xdr:rowOff>
        </xdr:to>
        <xdr:sp macro="" textlink="">
          <xdr:nvSpPr>
            <xdr:cNvPr id="1027" name="ob_ria_type_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85725</xdr:colOff>
      <xdr:row>49</xdr:row>
      <xdr:rowOff>104775</xdr:rowOff>
    </xdr:from>
    <xdr:to>
      <xdr:col>19</xdr:col>
      <xdr:colOff>306525</xdr:colOff>
      <xdr:row>52</xdr:row>
      <xdr:rowOff>1275</xdr:rowOff>
    </xdr:to>
    <xdr:sp macro="[0]!PickCodeFile" textlink="">
      <xdr:nvSpPr>
        <xdr:cNvPr id="13" name="s_r_authorsdb">
          <a:extLst>
            <a:ext uri="{FF2B5EF4-FFF2-40B4-BE49-F238E27FC236}">
              <a16:creationId xmlns:a16="http://schemas.microsoft.com/office/drawing/2014/main" id="{00000000-0008-0000-0300-00000D000000}"/>
            </a:ext>
          </a:extLst>
        </xdr:cNvPr>
        <xdr:cNvSpPr/>
      </xdr:nvSpPr>
      <xdr:spPr>
        <a:xfrm>
          <a:off x="8181975" y="10067925"/>
          <a:ext cx="1440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Выбрать</a:t>
          </a:r>
          <a:r>
            <a:rPr lang="ru-RU" sz="1400" b="1" baseline="0">
              <a:latin typeface="+mn-lt"/>
              <a:ea typeface="Segoe UI" panose="020B0502040204020203" pitchFamily="34" charset="0"/>
              <a:cs typeface="Segoe UI" panose="020B0502040204020203" pitchFamily="34" charset="0"/>
            </a:rPr>
            <a:t> файл</a:t>
          </a:r>
        </a:p>
      </xdr:txBody>
    </xdr:sp>
    <xdr:clientData/>
  </xdr:twoCellAnchor>
  <xdr:twoCellAnchor editAs="oneCell">
    <xdr:from>
      <xdr:col>1</xdr:col>
      <xdr:colOff>9526</xdr:colOff>
      <xdr:row>10</xdr:row>
      <xdr:rowOff>67593</xdr:rowOff>
    </xdr:from>
    <xdr:to>
      <xdr:col>7</xdr:col>
      <xdr:colOff>10426</xdr:colOff>
      <xdr:row>12</xdr:row>
      <xdr:rowOff>154593</xdr:rowOff>
    </xdr:to>
    <xdr:sp macro="" textlink="">
      <xdr:nvSpPr>
        <xdr:cNvPr id="16" name="s_r_ria">
          <a:hlinkClick xmlns:r="http://schemas.openxmlformats.org/officeDocument/2006/relationships" r:id="rId1"/>
          <a:extLst>
            <a:ext uri="{FF2B5EF4-FFF2-40B4-BE49-F238E27FC236}">
              <a16:creationId xmlns:a16="http://schemas.microsoft.com/office/drawing/2014/main" id="{00000000-0008-0000-0300-000010000000}"/>
            </a:ext>
          </a:extLst>
        </xdr:cNvPr>
        <xdr:cNvSpPr/>
      </xdr:nvSpPr>
      <xdr:spPr>
        <a:xfrm>
          <a:off x="180976" y="2048793"/>
          <a:ext cx="1944000" cy="4680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ru-RU" sz="1400" b="1">
              <a:ln w="3175">
                <a:noFill/>
              </a:ln>
              <a:solidFill>
                <a:schemeClr val="tx2">
                  <a:lumMod val="60000"/>
                  <a:lumOff val="40000"/>
                </a:schemeClr>
              </a:solidFill>
              <a:latin typeface="+mn-lt"/>
              <a:ea typeface="Segoe UI" panose="020B0502040204020203" pitchFamily="34" charset="0"/>
              <a:cs typeface="Segoe UI" panose="020B0502040204020203" pitchFamily="34" charset="0"/>
            </a:rPr>
            <a:t>Р</a:t>
          </a:r>
          <a:r>
            <a:rPr lang="ru-RU" sz="1400" b="1" baseline="0">
              <a:ln w="3175">
                <a:noFill/>
              </a:ln>
              <a:solidFill>
                <a:schemeClr val="tx2">
                  <a:lumMod val="60000"/>
                  <a:lumOff val="40000"/>
                </a:schemeClr>
              </a:solidFill>
              <a:latin typeface="+mn-lt"/>
              <a:ea typeface="Segoe UI" panose="020B0502040204020203" pitchFamily="34" charset="0"/>
              <a:cs typeface="Segoe UI" panose="020B0502040204020203" pitchFamily="34" charset="0"/>
            </a:rPr>
            <a:t> </a:t>
          </a:r>
          <a:r>
            <a:rPr lang="ru-RU" sz="1400" b="1">
              <a:ln w="3175">
                <a:noFill/>
              </a:ln>
              <a:solidFill>
                <a:schemeClr val="tx2">
                  <a:lumMod val="60000"/>
                  <a:lumOff val="40000"/>
                </a:schemeClr>
              </a:solidFill>
              <a:latin typeface="+mn-lt"/>
              <a:ea typeface="Segoe UI" panose="020B0502040204020203" pitchFamily="34" charset="0"/>
              <a:cs typeface="Segoe UI" panose="020B0502040204020203" pitchFamily="34" charset="0"/>
            </a:rPr>
            <a:t>И</a:t>
          </a:r>
          <a:r>
            <a:rPr lang="ru-RU" sz="1400" b="1" baseline="0">
              <a:ln w="3175">
                <a:noFill/>
              </a:ln>
              <a:solidFill>
                <a:schemeClr val="tx2">
                  <a:lumMod val="60000"/>
                  <a:lumOff val="40000"/>
                </a:schemeClr>
              </a:solidFill>
              <a:latin typeface="+mn-lt"/>
              <a:ea typeface="Segoe UI" panose="020B0502040204020203" pitchFamily="34" charset="0"/>
              <a:cs typeface="Segoe UI" panose="020B0502040204020203" pitchFamily="34" charset="0"/>
            </a:rPr>
            <a:t> </a:t>
          </a:r>
          <a:r>
            <a:rPr lang="ru-RU" sz="1400" b="1">
              <a:ln w="3175">
                <a:noFill/>
              </a:ln>
              <a:solidFill>
                <a:schemeClr val="tx2">
                  <a:lumMod val="60000"/>
                  <a:lumOff val="40000"/>
                </a:schemeClr>
              </a:solidFill>
              <a:latin typeface="+mn-lt"/>
              <a:ea typeface="Segoe UI" panose="020B0502040204020203" pitchFamily="34" charset="0"/>
              <a:cs typeface="Segoe UI" panose="020B0502040204020203" pitchFamily="34" charset="0"/>
            </a:rPr>
            <a:t>Д</a:t>
          </a:r>
          <a:endParaRPr lang="en-US" sz="1400" b="1">
            <a:ln w="3175">
              <a:noFill/>
            </a:ln>
            <a:solidFill>
              <a:schemeClr val="tx2">
                <a:lumMod val="60000"/>
                <a:lumOff val="40000"/>
              </a:schemeClr>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10388</xdr:colOff>
      <xdr:row>13</xdr:row>
      <xdr:rowOff>70665</xdr:rowOff>
    </xdr:from>
    <xdr:to>
      <xdr:col>7</xdr:col>
      <xdr:colOff>9525</xdr:colOff>
      <xdr:row>15</xdr:row>
      <xdr:rowOff>157665</xdr:rowOff>
    </xdr:to>
    <xdr:sp macro="" textlink="">
      <xdr:nvSpPr>
        <xdr:cNvPr id="17" name="s_r_authors">
          <a:hlinkClick xmlns:r="http://schemas.openxmlformats.org/officeDocument/2006/relationships" r:id="rId2"/>
          <a:extLst>
            <a:ext uri="{FF2B5EF4-FFF2-40B4-BE49-F238E27FC236}">
              <a16:creationId xmlns:a16="http://schemas.microsoft.com/office/drawing/2014/main" id="{00000000-0008-0000-0300-000011000000}"/>
            </a:ext>
          </a:extLst>
        </xdr:cNvPr>
        <xdr:cNvSpPr/>
      </xdr:nvSpPr>
      <xdr:spPr>
        <a:xfrm>
          <a:off x="181838" y="2623365"/>
          <a:ext cx="1942237"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Авторы</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8490</xdr:colOff>
      <xdr:row>16</xdr:row>
      <xdr:rowOff>76202</xdr:rowOff>
    </xdr:from>
    <xdr:to>
      <xdr:col>7</xdr:col>
      <xdr:colOff>9390</xdr:colOff>
      <xdr:row>18</xdr:row>
      <xdr:rowOff>163202</xdr:rowOff>
    </xdr:to>
    <xdr:sp macro="" textlink="">
      <xdr:nvSpPr>
        <xdr:cNvPr id="18" name="s_r_task">
          <a:hlinkClick xmlns:r="http://schemas.openxmlformats.org/officeDocument/2006/relationships" r:id="rId3"/>
          <a:extLst>
            <a:ext uri="{FF2B5EF4-FFF2-40B4-BE49-F238E27FC236}">
              <a16:creationId xmlns:a16="http://schemas.microsoft.com/office/drawing/2014/main" id="{00000000-0008-0000-0300-000012000000}"/>
            </a:ext>
          </a:extLst>
        </xdr:cNvPr>
        <xdr:cNvSpPr/>
      </xdr:nvSpPr>
      <xdr:spPr>
        <a:xfrm>
          <a:off x="179940" y="3200402"/>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bg1"/>
              </a:solidFill>
              <a:latin typeface="+mn-lt"/>
              <a:ea typeface="Segoe UI" panose="020B0502040204020203" pitchFamily="34" charset="0"/>
              <a:cs typeface="Segoe UI" panose="020B0502040204020203" pitchFamily="34" charset="0"/>
            </a:rPr>
            <a:t>Служебное задание</a:t>
          </a:r>
          <a:endParaRPr lang="en-US" sz="1400" b="1">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9844</xdr:colOff>
      <xdr:row>19</xdr:row>
      <xdr:rowOff>79056</xdr:rowOff>
    </xdr:from>
    <xdr:to>
      <xdr:col>7</xdr:col>
      <xdr:colOff>10610</xdr:colOff>
      <xdr:row>21</xdr:row>
      <xdr:rowOff>166056</xdr:rowOff>
    </xdr:to>
    <xdr:sp macro="" textlink="">
      <xdr:nvSpPr>
        <xdr:cNvPr id="19" name="s_r_submit">
          <a:hlinkClick xmlns:r="http://schemas.openxmlformats.org/officeDocument/2006/relationships" r:id="rId4"/>
          <a:extLst>
            <a:ext uri="{FF2B5EF4-FFF2-40B4-BE49-F238E27FC236}">
              <a16:creationId xmlns:a16="http://schemas.microsoft.com/office/drawing/2014/main" id="{00000000-0008-0000-0300-000013000000}"/>
            </a:ext>
          </a:extLst>
        </xdr:cNvPr>
        <xdr:cNvSpPr/>
      </xdr:nvSpPr>
      <xdr:spPr>
        <a:xfrm>
          <a:off x="181294" y="3774756"/>
          <a:ext cx="1943866"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Подача заявки</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10537</xdr:colOff>
      <xdr:row>23</xdr:row>
      <xdr:rowOff>54459</xdr:rowOff>
    </xdr:from>
    <xdr:to>
      <xdr:col>7</xdr:col>
      <xdr:colOff>10205</xdr:colOff>
      <xdr:row>25</xdr:row>
      <xdr:rowOff>141459</xdr:rowOff>
    </xdr:to>
    <xdr:sp macro="" textlink="">
      <xdr:nvSpPr>
        <xdr:cNvPr id="20" name="s_r_authorsdb">
          <a:hlinkClick xmlns:r="http://schemas.openxmlformats.org/officeDocument/2006/relationships" r:id="rId5"/>
          <a:extLst>
            <a:ext uri="{FF2B5EF4-FFF2-40B4-BE49-F238E27FC236}">
              <a16:creationId xmlns:a16="http://schemas.microsoft.com/office/drawing/2014/main" id="{00000000-0008-0000-0300-000014000000}"/>
            </a:ext>
          </a:extLst>
        </xdr:cNvPr>
        <xdr:cNvSpPr/>
      </xdr:nvSpPr>
      <xdr:spPr>
        <a:xfrm>
          <a:off x="181987" y="4502634"/>
          <a:ext cx="1942768" cy="468000"/>
        </a:xfrm>
        <a:prstGeom prst="rect">
          <a:avLst/>
        </a:prstGeom>
        <a:solidFill>
          <a:schemeClr val="bg1">
            <a:lumMod val="85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lt1"/>
              </a:solidFill>
              <a:latin typeface="+mn-lt"/>
              <a:ea typeface="Segoe UI" panose="020B0502040204020203" pitchFamily="34" charset="0"/>
              <a:cs typeface="Segoe UI" panose="020B0502040204020203" pitchFamily="34" charset="0"/>
            </a:rPr>
            <a:t>Настройки</a:t>
          </a:r>
        </a:p>
      </xdr:txBody>
    </xdr:sp>
    <xdr:clientData fPrintsWithSheet="0"/>
  </xdr:twoCellAnchor>
  <xdr:twoCellAnchor editAs="oneCell">
    <xdr:from>
      <xdr:col>1</xdr:col>
      <xdr:colOff>177817</xdr:colOff>
      <xdr:row>1</xdr:row>
      <xdr:rowOff>129993</xdr:rowOff>
    </xdr:from>
    <xdr:to>
      <xdr:col>2</xdr:col>
      <xdr:colOff>321967</xdr:colOff>
      <xdr:row>3</xdr:row>
      <xdr:rowOff>121743</xdr:rowOff>
    </xdr:to>
    <xdr:pic>
      <xdr:nvPicPr>
        <xdr:cNvPr id="21" name="Picture 20">
          <a:extLst>
            <a:ext uri="{FF2B5EF4-FFF2-40B4-BE49-F238E27FC236}">
              <a16:creationId xmlns:a16="http://schemas.microsoft.com/office/drawing/2014/main" id="{00000000-0008-0000-0300-00001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9267" y="291918"/>
          <a:ext cx="468000" cy="468000"/>
        </a:xfrm>
        <a:prstGeom prst="rect">
          <a:avLst/>
        </a:prstGeom>
        <a:ln>
          <a:noFill/>
        </a:ln>
      </xdr:spPr>
    </xdr:pic>
    <xdr:clientData/>
  </xdr:twoCellAnchor>
  <xdr:twoCellAnchor editAs="oneCell">
    <xdr:from>
      <xdr:col>3</xdr:col>
      <xdr:colOff>104627</xdr:colOff>
      <xdr:row>1</xdr:row>
      <xdr:rowOff>234446</xdr:rowOff>
    </xdr:from>
    <xdr:to>
      <xdr:col>6</xdr:col>
      <xdr:colOff>133202</xdr:colOff>
      <xdr:row>3</xdr:row>
      <xdr:rowOff>110621</xdr:rowOff>
    </xdr:to>
    <xdr:pic>
      <xdr:nvPicPr>
        <xdr:cNvPr id="22" name="Picture 21">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23777" y="396371"/>
          <a:ext cx="1000125" cy="352425"/>
        </a:xfrm>
        <a:prstGeom prst="rect">
          <a:avLst/>
        </a:prstGeom>
        <a:ln>
          <a:noFill/>
        </a:ln>
      </xdr:spPr>
    </xdr:pic>
    <xdr:clientData/>
  </xdr:twoCellAnchor>
  <xdr:twoCellAnchor editAs="oneCell">
    <xdr:from>
      <xdr:col>1</xdr:col>
      <xdr:colOff>9525</xdr:colOff>
      <xdr:row>26</xdr:row>
      <xdr:rowOff>57150</xdr:rowOff>
    </xdr:from>
    <xdr:to>
      <xdr:col>7</xdr:col>
      <xdr:colOff>10425</xdr:colOff>
      <xdr:row>28</xdr:row>
      <xdr:rowOff>144150</xdr:rowOff>
    </xdr:to>
    <xdr:sp macro="" textlink="">
      <xdr:nvSpPr>
        <xdr:cNvPr id="23" name="s_r_authorsdb">
          <a:hlinkClick xmlns:r="http://schemas.openxmlformats.org/officeDocument/2006/relationships" r:id="rId8"/>
          <a:extLst>
            <a:ext uri="{FF2B5EF4-FFF2-40B4-BE49-F238E27FC236}">
              <a16:creationId xmlns:a16="http://schemas.microsoft.com/office/drawing/2014/main" id="{00000000-0008-0000-0300-000017000000}"/>
            </a:ext>
          </a:extLst>
        </xdr:cNvPr>
        <xdr:cNvSpPr/>
      </xdr:nvSpPr>
      <xdr:spPr>
        <a:xfrm>
          <a:off x="180975" y="5086350"/>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База данных авторов</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10645</xdr:colOff>
      <xdr:row>30</xdr:row>
      <xdr:rowOff>49865</xdr:rowOff>
    </xdr:from>
    <xdr:to>
      <xdr:col>7</xdr:col>
      <xdr:colOff>10313</xdr:colOff>
      <xdr:row>32</xdr:row>
      <xdr:rowOff>127340</xdr:rowOff>
    </xdr:to>
    <xdr:sp macro="[0]!ClearFields" textlink="">
      <xdr:nvSpPr>
        <xdr:cNvPr id="24" name="s_r_authorsdb">
          <a:extLst>
            <a:ext uri="{FF2B5EF4-FFF2-40B4-BE49-F238E27FC236}">
              <a16:creationId xmlns:a16="http://schemas.microsoft.com/office/drawing/2014/main" id="{00000000-0008-0000-0300-000018000000}"/>
            </a:ext>
          </a:extLst>
        </xdr:cNvPr>
        <xdr:cNvSpPr/>
      </xdr:nvSpPr>
      <xdr:spPr>
        <a:xfrm>
          <a:off x="182095" y="5831540"/>
          <a:ext cx="1942768"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Очистить</a:t>
          </a:r>
          <a:r>
            <a:rPr lang="ru-RU" sz="1400" b="1" baseline="0">
              <a:latin typeface="+mn-lt"/>
              <a:ea typeface="Segoe UI" panose="020B0502040204020203" pitchFamily="34" charset="0"/>
              <a:cs typeface="Segoe UI" panose="020B0502040204020203" pitchFamily="34" charset="0"/>
            </a:rPr>
            <a:t> поля</a:t>
          </a:r>
          <a:endParaRPr lang="en-US" sz="1400" b="1">
            <a:latin typeface="+mn-lt"/>
            <a:ea typeface="Segoe UI" panose="020B0502040204020203" pitchFamily="34" charset="0"/>
            <a:cs typeface="Segoe UI" panose="020B0502040204020203" pitchFamily="34" charset="0"/>
          </a:endParaRPr>
        </a:p>
      </xdr:txBody>
    </xdr:sp>
    <xdr:clientData fPrintsWithSheet="0"/>
  </xdr:twoCellAnchor>
  <mc:AlternateContent xmlns:mc="http://schemas.openxmlformats.org/markup-compatibility/2006">
    <mc:Choice xmlns:a14="http://schemas.microsoft.com/office/drawing/2010/main" Requires="a14">
      <xdr:twoCellAnchor>
        <xdr:from>
          <xdr:col>20</xdr:col>
          <xdr:colOff>542925</xdr:colOff>
          <xdr:row>6</xdr:row>
          <xdr:rowOff>180975</xdr:rowOff>
        </xdr:from>
        <xdr:to>
          <xdr:col>23</xdr:col>
          <xdr:colOff>57150</xdr:colOff>
          <xdr:row>8</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конпка открыть док файл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9526</xdr:colOff>
      <xdr:row>10</xdr:row>
      <xdr:rowOff>67593</xdr:rowOff>
    </xdr:from>
    <xdr:to>
      <xdr:col>7</xdr:col>
      <xdr:colOff>10426</xdr:colOff>
      <xdr:row>12</xdr:row>
      <xdr:rowOff>154593</xdr:rowOff>
    </xdr:to>
    <xdr:sp macro="" textlink="">
      <xdr:nvSpPr>
        <xdr:cNvPr id="63" name="s_r_ria">
          <a:hlinkClick xmlns:r="http://schemas.openxmlformats.org/officeDocument/2006/relationships" r:id="rId1"/>
          <a:extLst>
            <a:ext uri="{FF2B5EF4-FFF2-40B4-BE49-F238E27FC236}">
              <a16:creationId xmlns:a16="http://schemas.microsoft.com/office/drawing/2014/main" id="{00000000-0008-0000-0400-00003F000000}"/>
            </a:ext>
          </a:extLst>
        </xdr:cNvPr>
        <xdr:cNvSpPr/>
      </xdr:nvSpPr>
      <xdr:spPr>
        <a:xfrm>
          <a:off x="180976" y="2039268"/>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n w="3175">
                <a:noFill/>
              </a:ln>
              <a:solidFill>
                <a:schemeClr val="bg1"/>
              </a:solidFill>
              <a:latin typeface="+mn-lt"/>
              <a:ea typeface="Segoe UI" panose="020B0502040204020203" pitchFamily="34" charset="0"/>
              <a:cs typeface="Segoe UI" panose="020B0502040204020203" pitchFamily="34" charset="0"/>
            </a:rPr>
            <a:t>Р</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И</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Д</a:t>
          </a:r>
          <a:endParaRPr lang="en-US" sz="1400" b="1">
            <a:ln w="3175">
              <a:noFill/>
            </a:ln>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10388</xdr:colOff>
      <xdr:row>13</xdr:row>
      <xdr:rowOff>70665</xdr:rowOff>
    </xdr:from>
    <xdr:to>
      <xdr:col>7</xdr:col>
      <xdr:colOff>9525</xdr:colOff>
      <xdr:row>15</xdr:row>
      <xdr:rowOff>110040</xdr:rowOff>
    </xdr:to>
    <xdr:sp macro="" textlink="">
      <xdr:nvSpPr>
        <xdr:cNvPr id="64" name="s_r_authors">
          <a:hlinkClick xmlns:r="http://schemas.openxmlformats.org/officeDocument/2006/relationships" r:id="rId2"/>
          <a:extLst>
            <a:ext uri="{FF2B5EF4-FFF2-40B4-BE49-F238E27FC236}">
              <a16:creationId xmlns:a16="http://schemas.microsoft.com/office/drawing/2014/main" id="{00000000-0008-0000-0400-000040000000}"/>
            </a:ext>
          </a:extLst>
        </xdr:cNvPr>
        <xdr:cNvSpPr/>
      </xdr:nvSpPr>
      <xdr:spPr>
        <a:xfrm>
          <a:off x="181838" y="2613840"/>
          <a:ext cx="1942237" cy="4680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ru-RU" sz="1400" b="1">
              <a:solidFill>
                <a:schemeClr val="tx2">
                  <a:lumMod val="60000"/>
                  <a:lumOff val="40000"/>
                </a:schemeClr>
              </a:solidFill>
              <a:latin typeface="+mn-lt"/>
              <a:ea typeface="Segoe UI" panose="020B0502040204020203" pitchFamily="34" charset="0"/>
              <a:cs typeface="Segoe UI" panose="020B0502040204020203" pitchFamily="34" charset="0"/>
            </a:rPr>
            <a:t>Авторы</a:t>
          </a:r>
          <a:endParaRPr lang="en-US" sz="1400" b="1">
            <a:solidFill>
              <a:schemeClr val="tx2">
                <a:lumMod val="60000"/>
                <a:lumOff val="40000"/>
              </a:schemeClr>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8490</xdr:colOff>
      <xdr:row>15</xdr:row>
      <xdr:rowOff>219077</xdr:rowOff>
    </xdr:from>
    <xdr:to>
      <xdr:col>7</xdr:col>
      <xdr:colOff>9390</xdr:colOff>
      <xdr:row>17</xdr:row>
      <xdr:rowOff>210827</xdr:rowOff>
    </xdr:to>
    <xdr:sp macro="" textlink="">
      <xdr:nvSpPr>
        <xdr:cNvPr id="65" name="s_r_task">
          <a:hlinkClick xmlns:r="http://schemas.openxmlformats.org/officeDocument/2006/relationships" r:id="rId3"/>
          <a:extLst>
            <a:ext uri="{FF2B5EF4-FFF2-40B4-BE49-F238E27FC236}">
              <a16:creationId xmlns:a16="http://schemas.microsoft.com/office/drawing/2014/main" id="{00000000-0008-0000-0400-000041000000}"/>
            </a:ext>
          </a:extLst>
        </xdr:cNvPr>
        <xdr:cNvSpPr/>
      </xdr:nvSpPr>
      <xdr:spPr>
        <a:xfrm>
          <a:off x="179940" y="3190877"/>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bg1"/>
              </a:solidFill>
              <a:latin typeface="+mn-lt"/>
              <a:ea typeface="Segoe UI" panose="020B0502040204020203" pitchFamily="34" charset="0"/>
              <a:cs typeface="Segoe UI" panose="020B0502040204020203" pitchFamily="34" charset="0"/>
            </a:rPr>
            <a:t>Служебное задание</a:t>
          </a:r>
          <a:endParaRPr lang="en-US" sz="1400" b="1">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9844</xdr:colOff>
      <xdr:row>18</xdr:row>
      <xdr:rowOff>79056</xdr:rowOff>
    </xdr:from>
    <xdr:to>
      <xdr:col>7</xdr:col>
      <xdr:colOff>10610</xdr:colOff>
      <xdr:row>20</xdr:row>
      <xdr:rowOff>70806</xdr:rowOff>
    </xdr:to>
    <xdr:sp macro="" textlink="">
      <xdr:nvSpPr>
        <xdr:cNvPr id="66" name="s_r_submit">
          <a:hlinkClick xmlns:r="http://schemas.openxmlformats.org/officeDocument/2006/relationships" r:id="rId4"/>
          <a:extLst>
            <a:ext uri="{FF2B5EF4-FFF2-40B4-BE49-F238E27FC236}">
              <a16:creationId xmlns:a16="http://schemas.microsoft.com/office/drawing/2014/main" id="{00000000-0008-0000-0400-000042000000}"/>
            </a:ext>
          </a:extLst>
        </xdr:cNvPr>
        <xdr:cNvSpPr/>
      </xdr:nvSpPr>
      <xdr:spPr>
        <a:xfrm>
          <a:off x="181294" y="3765231"/>
          <a:ext cx="1943866"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Подача заявки</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10537</xdr:colOff>
      <xdr:row>21</xdr:row>
      <xdr:rowOff>102084</xdr:rowOff>
    </xdr:from>
    <xdr:to>
      <xdr:col>7</xdr:col>
      <xdr:colOff>10205</xdr:colOff>
      <xdr:row>23</xdr:row>
      <xdr:rowOff>93834</xdr:rowOff>
    </xdr:to>
    <xdr:sp macro="" textlink="">
      <xdr:nvSpPr>
        <xdr:cNvPr id="67" name="s_r_authorsdb">
          <a:hlinkClick xmlns:r="http://schemas.openxmlformats.org/officeDocument/2006/relationships" r:id="rId5"/>
          <a:extLst>
            <a:ext uri="{FF2B5EF4-FFF2-40B4-BE49-F238E27FC236}">
              <a16:creationId xmlns:a16="http://schemas.microsoft.com/office/drawing/2014/main" id="{00000000-0008-0000-0400-000043000000}"/>
            </a:ext>
          </a:extLst>
        </xdr:cNvPr>
        <xdr:cNvSpPr/>
      </xdr:nvSpPr>
      <xdr:spPr>
        <a:xfrm>
          <a:off x="181987" y="4502634"/>
          <a:ext cx="1942768" cy="468000"/>
        </a:xfrm>
        <a:prstGeom prst="rect">
          <a:avLst/>
        </a:prstGeom>
        <a:solidFill>
          <a:schemeClr val="bg1">
            <a:lumMod val="85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lt1"/>
              </a:solidFill>
              <a:latin typeface="+mn-lt"/>
              <a:ea typeface="Segoe UI" panose="020B0502040204020203" pitchFamily="34" charset="0"/>
              <a:cs typeface="Segoe UI" panose="020B0502040204020203" pitchFamily="34" charset="0"/>
            </a:rPr>
            <a:t>Настройки</a:t>
          </a:r>
          <a:endParaRPr lang="en-US" sz="1400" b="1">
            <a:solidFill>
              <a:schemeClr val="lt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177817</xdr:colOff>
      <xdr:row>1</xdr:row>
      <xdr:rowOff>129993</xdr:rowOff>
    </xdr:from>
    <xdr:to>
      <xdr:col>2</xdr:col>
      <xdr:colOff>321967</xdr:colOff>
      <xdr:row>3</xdr:row>
      <xdr:rowOff>121743</xdr:rowOff>
    </xdr:to>
    <xdr:pic>
      <xdr:nvPicPr>
        <xdr:cNvPr id="68" name="Picture 67">
          <a:extLst>
            <a:ext uri="{FF2B5EF4-FFF2-40B4-BE49-F238E27FC236}">
              <a16:creationId xmlns:a16="http://schemas.microsoft.com/office/drawing/2014/main" id="{00000000-0008-0000-0400-000044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9267" y="291918"/>
          <a:ext cx="468000" cy="468000"/>
        </a:xfrm>
        <a:prstGeom prst="rect">
          <a:avLst/>
        </a:prstGeom>
        <a:ln>
          <a:noFill/>
        </a:ln>
      </xdr:spPr>
    </xdr:pic>
    <xdr:clientData/>
  </xdr:twoCellAnchor>
  <xdr:twoCellAnchor editAs="oneCell">
    <xdr:from>
      <xdr:col>3</xdr:col>
      <xdr:colOff>104627</xdr:colOff>
      <xdr:row>1</xdr:row>
      <xdr:rowOff>234446</xdr:rowOff>
    </xdr:from>
    <xdr:to>
      <xdr:col>6</xdr:col>
      <xdr:colOff>133202</xdr:colOff>
      <xdr:row>3</xdr:row>
      <xdr:rowOff>110621</xdr:rowOff>
    </xdr:to>
    <xdr:pic>
      <xdr:nvPicPr>
        <xdr:cNvPr id="69" name="Picture 68">
          <a:extLst>
            <a:ext uri="{FF2B5EF4-FFF2-40B4-BE49-F238E27FC236}">
              <a16:creationId xmlns:a16="http://schemas.microsoft.com/office/drawing/2014/main" id="{00000000-0008-0000-0400-00004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23777" y="396371"/>
          <a:ext cx="1000125" cy="352425"/>
        </a:xfrm>
        <a:prstGeom prst="rect">
          <a:avLst/>
        </a:prstGeom>
        <a:ln>
          <a:noFill/>
        </a:ln>
      </xdr:spPr>
    </xdr:pic>
    <xdr:clientData/>
  </xdr:twoCellAnchor>
  <xdr:twoCellAnchor editAs="oneCell">
    <xdr:from>
      <xdr:col>1</xdr:col>
      <xdr:colOff>9525</xdr:colOff>
      <xdr:row>23</xdr:row>
      <xdr:rowOff>200025</xdr:rowOff>
    </xdr:from>
    <xdr:to>
      <xdr:col>7</xdr:col>
      <xdr:colOff>10425</xdr:colOff>
      <xdr:row>25</xdr:row>
      <xdr:rowOff>191775</xdr:rowOff>
    </xdr:to>
    <xdr:sp macro="" textlink="">
      <xdr:nvSpPr>
        <xdr:cNvPr id="70" name="s_r_authorsdb">
          <a:hlinkClick xmlns:r="http://schemas.openxmlformats.org/officeDocument/2006/relationships" r:id="rId8"/>
          <a:extLst>
            <a:ext uri="{FF2B5EF4-FFF2-40B4-BE49-F238E27FC236}">
              <a16:creationId xmlns:a16="http://schemas.microsoft.com/office/drawing/2014/main" id="{00000000-0008-0000-0400-000046000000}"/>
            </a:ext>
          </a:extLst>
        </xdr:cNvPr>
        <xdr:cNvSpPr/>
      </xdr:nvSpPr>
      <xdr:spPr>
        <a:xfrm>
          <a:off x="180975" y="5076825"/>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База данных авторов</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9526</xdr:colOff>
      <xdr:row>10</xdr:row>
      <xdr:rowOff>67593</xdr:rowOff>
    </xdr:from>
    <xdr:to>
      <xdr:col>7</xdr:col>
      <xdr:colOff>10426</xdr:colOff>
      <xdr:row>12</xdr:row>
      <xdr:rowOff>154593</xdr:rowOff>
    </xdr:to>
    <xdr:sp macro="" textlink="">
      <xdr:nvSpPr>
        <xdr:cNvPr id="9" name="s_r_ria">
          <a:hlinkClick xmlns:r="http://schemas.openxmlformats.org/officeDocument/2006/relationships" r:id="rId1"/>
          <a:extLst>
            <a:ext uri="{FF2B5EF4-FFF2-40B4-BE49-F238E27FC236}">
              <a16:creationId xmlns:a16="http://schemas.microsoft.com/office/drawing/2014/main" id="{00000000-0008-0000-0500-000009000000}"/>
            </a:ext>
          </a:extLst>
        </xdr:cNvPr>
        <xdr:cNvSpPr/>
      </xdr:nvSpPr>
      <xdr:spPr>
        <a:xfrm>
          <a:off x="180976" y="2048793"/>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n w="3175">
                <a:noFill/>
              </a:ln>
              <a:solidFill>
                <a:schemeClr val="bg1"/>
              </a:solidFill>
              <a:latin typeface="+mn-lt"/>
              <a:ea typeface="Segoe UI" panose="020B0502040204020203" pitchFamily="34" charset="0"/>
              <a:cs typeface="Segoe UI" panose="020B0502040204020203" pitchFamily="34" charset="0"/>
            </a:rPr>
            <a:t>Р</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И</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Д</a:t>
          </a:r>
          <a:endParaRPr lang="en-US" sz="1400" b="1">
            <a:ln w="3175">
              <a:noFill/>
            </a:ln>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10388</xdr:colOff>
      <xdr:row>13</xdr:row>
      <xdr:rowOff>70665</xdr:rowOff>
    </xdr:from>
    <xdr:to>
      <xdr:col>7</xdr:col>
      <xdr:colOff>9525</xdr:colOff>
      <xdr:row>15</xdr:row>
      <xdr:rowOff>157665</xdr:rowOff>
    </xdr:to>
    <xdr:sp macro="" textlink="">
      <xdr:nvSpPr>
        <xdr:cNvPr id="17" name="s_r_authors">
          <a:hlinkClick xmlns:r="http://schemas.openxmlformats.org/officeDocument/2006/relationships" r:id="rId2"/>
          <a:extLst>
            <a:ext uri="{FF2B5EF4-FFF2-40B4-BE49-F238E27FC236}">
              <a16:creationId xmlns:a16="http://schemas.microsoft.com/office/drawing/2014/main" id="{00000000-0008-0000-0500-000011000000}"/>
            </a:ext>
          </a:extLst>
        </xdr:cNvPr>
        <xdr:cNvSpPr/>
      </xdr:nvSpPr>
      <xdr:spPr>
        <a:xfrm>
          <a:off x="181838" y="2623365"/>
          <a:ext cx="1942237"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Авторы</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8490</xdr:colOff>
      <xdr:row>16</xdr:row>
      <xdr:rowOff>76202</xdr:rowOff>
    </xdr:from>
    <xdr:to>
      <xdr:col>7</xdr:col>
      <xdr:colOff>9390</xdr:colOff>
      <xdr:row>18</xdr:row>
      <xdr:rowOff>163202</xdr:rowOff>
    </xdr:to>
    <xdr:sp macro="" textlink="">
      <xdr:nvSpPr>
        <xdr:cNvPr id="18" name="s_r_task">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79940" y="3200402"/>
          <a:ext cx="1944000" cy="4680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ru-RU" sz="1400" b="1">
              <a:solidFill>
                <a:schemeClr val="tx2">
                  <a:lumMod val="60000"/>
                  <a:lumOff val="40000"/>
                </a:schemeClr>
              </a:solidFill>
              <a:latin typeface="+mn-lt"/>
              <a:ea typeface="Segoe UI" panose="020B0502040204020203" pitchFamily="34" charset="0"/>
              <a:cs typeface="Segoe UI" panose="020B0502040204020203" pitchFamily="34" charset="0"/>
            </a:rPr>
            <a:t>Служебное задание</a:t>
          </a:r>
          <a:endParaRPr lang="en-US" sz="1400" b="1">
            <a:solidFill>
              <a:schemeClr val="tx2">
                <a:lumMod val="60000"/>
                <a:lumOff val="40000"/>
              </a:schemeClr>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9844</xdr:colOff>
      <xdr:row>19</xdr:row>
      <xdr:rowOff>79056</xdr:rowOff>
    </xdr:from>
    <xdr:to>
      <xdr:col>7</xdr:col>
      <xdr:colOff>10610</xdr:colOff>
      <xdr:row>21</xdr:row>
      <xdr:rowOff>166056</xdr:rowOff>
    </xdr:to>
    <xdr:sp macro="" textlink="">
      <xdr:nvSpPr>
        <xdr:cNvPr id="19" name="s_r_submit">
          <a:hlinkClick xmlns:r="http://schemas.openxmlformats.org/officeDocument/2006/relationships" r:id="rId4"/>
          <a:extLst>
            <a:ext uri="{FF2B5EF4-FFF2-40B4-BE49-F238E27FC236}">
              <a16:creationId xmlns:a16="http://schemas.microsoft.com/office/drawing/2014/main" id="{00000000-0008-0000-0500-000013000000}"/>
            </a:ext>
          </a:extLst>
        </xdr:cNvPr>
        <xdr:cNvSpPr/>
      </xdr:nvSpPr>
      <xdr:spPr>
        <a:xfrm>
          <a:off x="181294" y="3774756"/>
          <a:ext cx="1943866"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Подача заявки</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10537</xdr:colOff>
      <xdr:row>23</xdr:row>
      <xdr:rowOff>54459</xdr:rowOff>
    </xdr:from>
    <xdr:to>
      <xdr:col>7</xdr:col>
      <xdr:colOff>10205</xdr:colOff>
      <xdr:row>25</xdr:row>
      <xdr:rowOff>141459</xdr:rowOff>
    </xdr:to>
    <xdr:sp macro="" textlink="">
      <xdr:nvSpPr>
        <xdr:cNvPr id="20" name="s_r_authorsdb">
          <a:hlinkClick xmlns:r="http://schemas.openxmlformats.org/officeDocument/2006/relationships" r:id="rId5"/>
          <a:extLst>
            <a:ext uri="{FF2B5EF4-FFF2-40B4-BE49-F238E27FC236}">
              <a16:creationId xmlns:a16="http://schemas.microsoft.com/office/drawing/2014/main" id="{00000000-0008-0000-0500-000014000000}"/>
            </a:ext>
          </a:extLst>
        </xdr:cNvPr>
        <xdr:cNvSpPr/>
      </xdr:nvSpPr>
      <xdr:spPr>
        <a:xfrm>
          <a:off x="181987" y="4512159"/>
          <a:ext cx="1942768" cy="468000"/>
        </a:xfrm>
        <a:prstGeom prst="rect">
          <a:avLst/>
        </a:prstGeom>
        <a:solidFill>
          <a:schemeClr val="bg1">
            <a:lumMod val="85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lt1"/>
              </a:solidFill>
              <a:latin typeface="+mn-lt"/>
              <a:ea typeface="Segoe UI" panose="020B0502040204020203" pitchFamily="34" charset="0"/>
              <a:cs typeface="Segoe UI" panose="020B0502040204020203" pitchFamily="34" charset="0"/>
            </a:rPr>
            <a:t>Настройки</a:t>
          </a:r>
          <a:endParaRPr lang="en-US" sz="1400" b="1">
            <a:solidFill>
              <a:schemeClr val="lt1"/>
            </a:solidFill>
            <a:latin typeface="+mn-lt"/>
            <a:ea typeface="Segoe UI" panose="020B0502040204020203" pitchFamily="34" charset="0"/>
            <a:cs typeface="Segoe UI" panose="020B0502040204020203" pitchFamily="34" charset="0"/>
          </a:endParaRPr>
        </a:p>
      </xdr:txBody>
    </xdr:sp>
    <xdr:clientData fPrintsWithSheet="0"/>
  </xdr:twoCellAnchor>
  <xdr:twoCellAnchor>
    <xdr:from>
      <xdr:col>1</xdr:col>
      <xdr:colOff>177817</xdr:colOff>
      <xdr:row>1</xdr:row>
      <xdr:rowOff>129993</xdr:rowOff>
    </xdr:from>
    <xdr:to>
      <xdr:col>2</xdr:col>
      <xdr:colOff>321967</xdr:colOff>
      <xdr:row>3</xdr:row>
      <xdr:rowOff>121743</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9267" y="291918"/>
          <a:ext cx="468000" cy="468000"/>
        </a:xfrm>
        <a:prstGeom prst="rect">
          <a:avLst/>
        </a:prstGeom>
        <a:ln>
          <a:noFill/>
        </a:ln>
      </xdr:spPr>
    </xdr:pic>
    <xdr:clientData/>
  </xdr:twoCellAnchor>
  <xdr:twoCellAnchor>
    <xdr:from>
      <xdr:col>3</xdr:col>
      <xdr:colOff>104627</xdr:colOff>
      <xdr:row>1</xdr:row>
      <xdr:rowOff>234446</xdr:rowOff>
    </xdr:from>
    <xdr:to>
      <xdr:col>6</xdr:col>
      <xdr:colOff>133202</xdr:colOff>
      <xdr:row>3</xdr:row>
      <xdr:rowOff>110621</xdr:rowOff>
    </xdr:to>
    <xdr:pic>
      <xdr:nvPicPr>
        <xdr:cNvPr id="22" name="Picture 21">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23777" y="396371"/>
          <a:ext cx="1000125" cy="352425"/>
        </a:xfrm>
        <a:prstGeom prst="rect">
          <a:avLst/>
        </a:prstGeom>
        <a:ln>
          <a:noFill/>
        </a:ln>
      </xdr:spPr>
    </xdr:pic>
    <xdr:clientData/>
  </xdr:twoCellAnchor>
  <xdr:twoCellAnchor editAs="oneCell">
    <xdr:from>
      <xdr:col>1</xdr:col>
      <xdr:colOff>9525</xdr:colOff>
      <xdr:row>26</xdr:row>
      <xdr:rowOff>57150</xdr:rowOff>
    </xdr:from>
    <xdr:to>
      <xdr:col>7</xdr:col>
      <xdr:colOff>10425</xdr:colOff>
      <xdr:row>28</xdr:row>
      <xdr:rowOff>144150</xdr:rowOff>
    </xdr:to>
    <xdr:sp macro="" textlink="">
      <xdr:nvSpPr>
        <xdr:cNvPr id="23" name="s_r_authorsdb">
          <a:hlinkClick xmlns:r="http://schemas.openxmlformats.org/officeDocument/2006/relationships" r:id="rId8"/>
          <a:extLst>
            <a:ext uri="{FF2B5EF4-FFF2-40B4-BE49-F238E27FC236}">
              <a16:creationId xmlns:a16="http://schemas.microsoft.com/office/drawing/2014/main" id="{00000000-0008-0000-0500-000017000000}"/>
            </a:ext>
          </a:extLst>
        </xdr:cNvPr>
        <xdr:cNvSpPr/>
      </xdr:nvSpPr>
      <xdr:spPr>
        <a:xfrm>
          <a:off x="180975" y="5086350"/>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База данных авторов</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10</xdr:col>
      <xdr:colOff>428625</xdr:colOff>
      <xdr:row>16</xdr:row>
      <xdr:rowOff>190499</xdr:rowOff>
    </xdr:from>
    <xdr:to>
      <xdr:col>14</xdr:col>
      <xdr:colOff>199125</xdr:colOff>
      <xdr:row>19</xdr:row>
      <xdr:rowOff>86999</xdr:rowOff>
    </xdr:to>
    <xdr:sp macro="[0]!GenerateDocuments" textlink="">
      <xdr:nvSpPr>
        <xdr:cNvPr id="10" name="s_s_ria">
          <a:extLst>
            <a:ext uri="{FF2B5EF4-FFF2-40B4-BE49-F238E27FC236}">
              <a16:creationId xmlns:a16="http://schemas.microsoft.com/office/drawing/2014/main" id="{00000000-0008-0000-0600-00000A000000}"/>
            </a:ext>
          </a:extLst>
        </xdr:cNvPr>
        <xdr:cNvSpPr/>
      </xdr:nvSpPr>
      <xdr:spPr>
        <a:xfrm>
          <a:off x="4076700" y="3305174"/>
          <a:ext cx="2628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marL="0" indent="0" algn="ctr"/>
          <a:r>
            <a:rPr lang="ru-RU" sz="1400" b="1">
              <a:solidFill>
                <a:schemeClr val="bg1"/>
              </a:solidFill>
              <a:latin typeface="+mn-lt"/>
              <a:ea typeface="Segoe UI" panose="020B0502040204020203" pitchFamily="34" charset="0"/>
              <a:cs typeface="Segoe UI" panose="020B0502040204020203" pitchFamily="34" charset="0"/>
            </a:rPr>
            <a:t>Сгенерировать</a:t>
          </a:r>
          <a:r>
            <a:rPr lang="ru-RU" sz="1400" b="1" baseline="0">
              <a:solidFill>
                <a:schemeClr val="bg1"/>
              </a:solidFill>
              <a:latin typeface="+mn-lt"/>
              <a:ea typeface="Segoe UI" panose="020B0502040204020203" pitchFamily="34" charset="0"/>
              <a:cs typeface="Segoe UI" panose="020B0502040204020203" pitchFamily="34" charset="0"/>
            </a:rPr>
            <a:t> документы</a:t>
          </a:r>
          <a:endParaRPr lang="en-US" sz="1400" b="1">
            <a:solidFill>
              <a:schemeClr val="bg1"/>
            </a:solidFill>
            <a:latin typeface="+mn-lt"/>
            <a:ea typeface="Segoe UI" panose="020B0502040204020203" pitchFamily="34" charset="0"/>
            <a:cs typeface="Segoe UI" panose="020B0502040204020203" pitchFamily="34" charset="0"/>
          </a:endParaRPr>
        </a:p>
      </xdr:txBody>
    </xdr:sp>
    <xdr:clientData/>
  </xdr:twoCellAnchor>
  <xdr:twoCellAnchor editAs="oneCell">
    <xdr:from>
      <xdr:col>1</xdr:col>
      <xdr:colOff>9526</xdr:colOff>
      <xdr:row>10</xdr:row>
      <xdr:rowOff>67593</xdr:rowOff>
    </xdr:from>
    <xdr:to>
      <xdr:col>7</xdr:col>
      <xdr:colOff>10426</xdr:colOff>
      <xdr:row>12</xdr:row>
      <xdr:rowOff>154593</xdr:rowOff>
    </xdr:to>
    <xdr:sp macro="" textlink="">
      <xdr:nvSpPr>
        <xdr:cNvPr id="36" name="s_r_ria">
          <a:hlinkClick xmlns:r="http://schemas.openxmlformats.org/officeDocument/2006/relationships" r:id="rId1"/>
          <a:extLst>
            <a:ext uri="{FF2B5EF4-FFF2-40B4-BE49-F238E27FC236}">
              <a16:creationId xmlns:a16="http://schemas.microsoft.com/office/drawing/2014/main" id="{00000000-0008-0000-0600-000024000000}"/>
            </a:ext>
          </a:extLst>
        </xdr:cNvPr>
        <xdr:cNvSpPr/>
      </xdr:nvSpPr>
      <xdr:spPr>
        <a:xfrm>
          <a:off x="180976" y="2039268"/>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n w="3175">
                <a:noFill/>
              </a:ln>
              <a:solidFill>
                <a:schemeClr val="bg1"/>
              </a:solidFill>
              <a:latin typeface="+mn-lt"/>
              <a:ea typeface="Segoe UI" panose="020B0502040204020203" pitchFamily="34" charset="0"/>
              <a:cs typeface="Segoe UI" panose="020B0502040204020203" pitchFamily="34" charset="0"/>
            </a:rPr>
            <a:t>Р</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И</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Д</a:t>
          </a:r>
          <a:endParaRPr lang="en-US" sz="1400" b="1">
            <a:ln w="3175">
              <a:noFill/>
            </a:ln>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10388</xdr:colOff>
      <xdr:row>13</xdr:row>
      <xdr:rowOff>70665</xdr:rowOff>
    </xdr:from>
    <xdr:to>
      <xdr:col>7</xdr:col>
      <xdr:colOff>9525</xdr:colOff>
      <xdr:row>15</xdr:row>
      <xdr:rowOff>157665</xdr:rowOff>
    </xdr:to>
    <xdr:sp macro="" textlink="">
      <xdr:nvSpPr>
        <xdr:cNvPr id="37" name="s_r_authors">
          <a:hlinkClick xmlns:r="http://schemas.openxmlformats.org/officeDocument/2006/relationships" r:id="rId2"/>
          <a:extLst>
            <a:ext uri="{FF2B5EF4-FFF2-40B4-BE49-F238E27FC236}">
              <a16:creationId xmlns:a16="http://schemas.microsoft.com/office/drawing/2014/main" id="{00000000-0008-0000-0600-000025000000}"/>
            </a:ext>
          </a:extLst>
        </xdr:cNvPr>
        <xdr:cNvSpPr/>
      </xdr:nvSpPr>
      <xdr:spPr>
        <a:xfrm>
          <a:off x="181838" y="2613840"/>
          <a:ext cx="1942237"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Авторы</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8490</xdr:colOff>
      <xdr:row>16</xdr:row>
      <xdr:rowOff>76202</xdr:rowOff>
    </xdr:from>
    <xdr:to>
      <xdr:col>7</xdr:col>
      <xdr:colOff>9390</xdr:colOff>
      <xdr:row>18</xdr:row>
      <xdr:rowOff>163202</xdr:rowOff>
    </xdr:to>
    <xdr:sp macro="" textlink="">
      <xdr:nvSpPr>
        <xdr:cNvPr id="38" name="s_r_task">
          <a:hlinkClick xmlns:r="http://schemas.openxmlformats.org/officeDocument/2006/relationships" r:id="rId3"/>
          <a:extLst>
            <a:ext uri="{FF2B5EF4-FFF2-40B4-BE49-F238E27FC236}">
              <a16:creationId xmlns:a16="http://schemas.microsoft.com/office/drawing/2014/main" id="{00000000-0008-0000-0600-000026000000}"/>
            </a:ext>
          </a:extLst>
        </xdr:cNvPr>
        <xdr:cNvSpPr/>
      </xdr:nvSpPr>
      <xdr:spPr>
        <a:xfrm>
          <a:off x="179940" y="3190877"/>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bg1"/>
              </a:solidFill>
              <a:latin typeface="+mn-lt"/>
              <a:ea typeface="Segoe UI" panose="020B0502040204020203" pitchFamily="34" charset="0"/>
              <a:cs typeface="Segoe UI" panose="020B0502040204020203" pitchFamily="34" charset="0"/>
            </a:rPr>
            <a:t>Служебное задание</a:t>
          </a:r>
          <a:endParaRPr lang="en-US" sz="1400" b="1">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9844</xdr:colOff>
      <xdr:row>19</xdr:row>
      <xdr:rowOff>79056</xdr:rowOff>
    </xdr:from>
    <xdr:to>
      <xdr:col>7</xdr:col>
      <xdr:colOff>10610</xdr:colOff>
      <xdr:row>21</xdr:row>
      <xdr:rowOff>166056</xdr:rowOff>
    </xdr:to>
    <xdr:sp macro="" textlink="">
      <xdr:nvSpPr>
        <xdr:cNvPr id="39" name="s_r_submit">
          <a:hlinkClick xmlns:r="http://schemas.openxmlformats.org/officeDocument/2006/relationships" r:id="rId4"/>
          <a:extLst>
            <a:ext uri="{FF2B5EF4-FFF2-40B4-BE49-F238E27FC236}">
              <a16:creationId xmlns:a16="http://schemas.microsoft.com/office/drawing/2014/main" id="{00000000-0008-0000-0600-000027000000}"/>
            </a:ext>
          </a:extLst>
        </xdr:cNvPr>
        <xdr:cNvSpPr/>
      </xdr:nvSpPr>
      <xdr:spPr>
        <a:xfrm>
          <a:off x="181294" y="3765231"/>
          <a:ext cx="1943866" cy="468000"/>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ru-RU" sz="1400" b="1">
              <a:solidFill>
                <a:schemeClr val="tx2">
                  <a:lumMod val="60000"/>
                  <a:lumOff val="40000"/>
                </a:schemeClr>
              </a:solidFill>
              <a:latin typeface="+mn-lt"/>
              <a:ea typeface="Segoe UI" panose="020B0502040204020203" pitchFamily="34" charset="0"/>
              <a:cs typeface="Segoe UI" panose="020B0502040204020203" pitchFamily="34" charset="0"/>
            </a:rPr>
            <a:t>Подача заявки</a:t>
          </a:r>
          <a:endParaRPr lang="en-US" sz="1400" b="1">
            <a:solidFill>
              <a:schemeClr val="tx2">
                <a:lumMod val="60000"/>
                <a:lumOff val="40000"/>
              </a:schemeClr>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10537</xdr:colOff>
      <xdr:row>23</xdr:row>
      <xdr:rowOff>54459</xdr:rowOff>
    </xdr:from>
    <xdr:to>
      <xdr:col>7</xdr:col>
      <xdr:colOff>10205</xdr:colOff>
      <xdr:row>25</xdr:row>
      <xdr:rowOff>141459</xdr:rowOff>
    </xdr:to>
    <xdr:sp macro="" textlink="">
      <xdr:nvSpPr>
        <xdr:cNvPr id="40" name="s_r_authorsdb">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181987" y="4502634"/>
          <a:ext cx="1942768" cy="468000"/>
        </a:xfrm>
        <a:prstGeom prst="rect">
          <a:avLst/>
        </a:prstGeom>
        <a:solidFill>
          <a:schemeClr val="bg1">
            <a:lumMod val="85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lt1"/>
              </a:solidFill>
              <a:latin typeface="+mn-lt"/>
              <a:ea typeface="Segoe UI" panose="020B0502040204020203" pitchFamily="34" charset="0"/>
              <a:cs typeface="Segoe UI" panose="020B0502040204020203" pitchFamily="34" charset="0"/>
            </a:rPr>
            <a:t>Настройки</a:t>
          </a:r>
          <a:endParaRPr lang="en-US" sz="1400" b="1">
            <a:solidFill>
              <a:schemeClr val="lt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177817</xdr:colOff>
      <xdr:row>1</xdr:row>
      <xdr:rowOff>129993</xdr:rowOff>
    </xdr:from>
    <xdr:to>
      <xdr:col>2</xdr:col>
      <xdr:colOff>321967</xdr:colOff>
      <xdr:row>3</xdr:row>
      <xdr:rowOff>121743</xdr:rowOff>
    </xdr:to>
    <xdr:pic>
      <xdr:nvPicPr>
        <xdr:cNvPr id="41" name="Picture 40">
          <a:extLst>
            <a:ext uri="{FF2B5EF4-FFF2-40B4-BE49-F238E27FC236}">
              <a16:creationId xmlns:a16="http://schemas.microsoft.com/office/drawing/2014/main" id="{00000000-0008-0000-0600-00002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9267" y="291918"/>
          <a:ext cx="468000" cy="468000"/>
        </a:xfrm>
        <a:prstGeom prst="rect">
          <a:avLst/>
        </a:prstGeom>
        <a:ln>
          <a:noFill/>
        </a:ln>
      </xdr:spPr>
    </xdr:pic>
    <xdr:clientData/>
  </xdr:twoCellAnchor>
  <xdr:twoCellAnchor editAs="oneCell">
    <xdr:from>
      <xdr:col>3</xdr:col>
      <xdr:colOff>104627</xdr:colOff>
      <xdr:row>1</xdr:row>
      <xdr:rowOff>234446</xdr:rowOff>
    </xdr:from>
    <xdr:to>
      <xdr:col>6</xdr:col>
      <xdr:colOff>133202</xdr:colOff>
      <xdr:row>3</xdr:row>
      <xdr:rowOff>110621</xdr:rowOff>
    </xdr:to>
    <xdr:pic>
      <xdr:nvPicPr>
        <xdr:cNvPr id="42" name="Picture 41">
          <a:extLst>
            <a:ext uri="{FF2B5EF4-FFF2-40B4-BE49-F238E27FC236}">
              <a16:creationId xmlns:a16="http://schemas.microsoft.com/office/drawing/2014/main" id="{00000000-0008-0000-0600-00002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23777" y="396371"/>
          <a:ext cx="1000125" cy="352425"/>
        </a:xfrm>
        <a:prstGeom prst="rect">
          <a:avLst/>
        </a:prstGeom>
        <a:ln>
          <a:noFill/>
        </a:ln>
      </xdr:spPr>
    </xdr:pic>
    <xdr:clientData/>
  </xdr:twoCellAnchor>
  <xdr:twoCellAnchor editAs="oneCell">
    <xdr:from>
      <xdr:col>1</xdr:col>
      <xdr:colOff>9525</xdr:colOff>
      <xdr:row>26</xdr:row>
      <xdr:rowOff>57150</xdr:rowOff>
    </xdr:from>
    <xdr:to>
      <xdr:col>7</xdr:col>
      <xdr:colOff>10425</xdr:colOff>
      <xdr:row>28</xdr:row>
      <xdr:rowOff>144150</xdr:rowOff>
    </xdr:to>
    <xdr:sp macro="" textlink="">
      <xdr:nvSpPr>
        <xdr:cNvPr id="43" name="s_r_authorsdb">
          <a:hlinkClick xmlns:r="http://schemas.openxmlformats.org/officeDocument/2006/relationships" r:id="rId8"/>
          <a:extLst>
            <a:ext uri="{FF2B5EF4-FFF2-40B4-BE49-F238E27FC236}">
              <a16:creationId xmlns:a16="http://schemas.microsoft.com/office/drawing/2014/main" id="{00000000-0008-0000-0600-00002B000000}"/>
            </a:ext>
          </a:extLst>
        </xdr:cNvPr>
        <xdr:cNvSpPr/>
      </xdr:nvSpPr>
      <xdr:spPr>
        <a:xfrm>
          <a:off x="180975" y="5076825"/>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База данных авторов</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oneCell">
    <xdr:from>
      <xdr:col>1</xdr:col>
      <xdr:colOff>9526</xdr:colOff>
      <xdr:row>10</xdr:row>
      <xdr:rowOff>67593</xdr:rowOff>
    </xdr:from>
    <xdr:to>
      <xdr:col>7</xdr:col>
      <xdr:colOff>10426</xdr:colOff>
      <xdr:row>12</xdr:row>
      <xdr:rowOff>154593</xdr:rowOff>
    </xdr:to>
    <xdr:sp macro="" textlink="">
      <xdr:nvSpPr>
        <xdr:cNvPr id="10" name="s_r_ria">
          <a:hlinkClick xmlns:r="http://schemas.openxmlformats.org/officeDocument/2006/relationships" r:id="rId1"/>
          <a:extLst>
            <a:ext uri="{FF2B5EF4-FFF2-40B4-BE49-F238E27FC236}">
              <a16:creationId xmlns:a16="http://schemas.microsoft.com/office/drawing/2014/main" id="{00000000-0008-0000-0700-00000A000000}"/>
            </a:ext>
          </a:extLst>
        </xdr:cNvPr>
        <xdr:cNvSpPr/>
      </xdr:nvSpPr>
      <xdr:spPr>
        <a:xfrm>
          <a:off x="180976" y="2039268"/>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n w="3175">
                <a:noFill/>
              </a:ln>
              <a:solidFill>
                <a:schemeClr val="bg1"/>
              </a:solidFill>
              <a:latin typeface="+mn-lt"/>
              <a:ea typeface="Segoe UI" panose="020B0502040204020203" pitchFamily="34" charset="0"/>
              <a:cs typeface="Segoe UI" panose="020B0502040204020203" pitchFamily="34" charset="0"/>
            </a:rPr>
            <a:t>Р</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И</a:t>
          </a:r>
          <a:r>
            <a:rPr lang="ru-RU" sz="1400" b="1" baseline="0">
              <a:ln w="3175">
                <a:noFill/>
              </a:ln>
              <a:solidFill>
                <a:schemeClr val="bg1"/>
              </a:solidFill>
              <a:latin typeface="+mn-lt"/>
              <a:ea typeface="Segoe UI" panose="020B0502040204020203" pitchFamily="34" charset="0"/>
              <a:cs typeface="Segoe UI" panose="020B0502040204020203" pitchFamily="34" charset="0"/>
            </a:rPr>
            <a:t> </a:t>
          </a:r>
          <a:r>
            <a:rPr lang="ru-RU" sz="1400" b="1">
              <a:ln w="3175">
                <a:noFill/>
              </a:ln>
              <a:solidFill>
                <a:schemeClr val="bg1"/>
              </a:solidFill>
              <a:latin typeface="+mn-lt"/>
              <a:ea typeface="Segoe UI" panose="020B0502040204020203" pitchFamily="34" charset="0"/>
              <a:cs typeface="Segoe UI" panose="020B0502040204020203" pitchFamily="34" charset="0"/>
            </a:rPr>
            <a:t>Д</a:t>
          </a:r>
          <a:endParaRPr lang="en-US" sz="1400" b="1">
            <a:ln w="3175">
              <a:noFill/>
            </a:ln>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10388</xdr:colOff>
      <xdr:row>13</xdr:row>
      <xdr:rowOff>70665</xdr:rowOff>
    </xdr:from>
    <xdr:to>
      <xdr:col>7</xdr:col>
      <xdr:colOff>9525</xdr:colOff>
      <xdr:row>15</xdr:row>
      <xdr:rowOff>157665</xdr:rowOff>
    </xdr:to>
    <xdr:sp macro="" textlink="">
      <xdr:nvSpPr>
        <xdr:cNvPr id="11" name="s_r_authors">
          <a:hlinkClick xmlns:r="http://schemas.openxmlformats.org/officeDocument/2006/relationships" r:id="rId2"/>
          <a:extLst>
            <a:ext uri="{FF2B5EF4-FFF2-40B4-BE49-F238E27FC236}">
              <a16:creationId xmlns:a16="http://schemas.microsoft.com/office/drawing/2014/main" id="{00000000-0008-0000-0700-00000B000000}"/>
            </a:ext>
          </a:extLst>
        </xdr:cNvPr>
        <xdr:cNvSpPr/>
      </xdr:nvSpPr>
      <xdr:spPr>
        <a:xfrm>
          <a:off x="181838" y="2613840"/>
          <a:ext cx="1942237"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Авторы</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8490</xdr:colOff>
      <xdr:row>16</xdr:row>
      <xdr:rowOff>76202</xdr:rowOff>
    </xdr:from>
    <xdr:to>
      <xdr:col>7</xdr:col>
      <xdr:colOff>9390</xdr:colOff>
      <xdr:row>18</xdr:row>
      <xdr:rowOff>163202</xdr:rowOff>
    </xdr:to>
    <xdr:sp macro="" textlink="">
      <xdr:nvSpPr>
        <xdr:cNvPr id="12" name="s_r_task">
          <a:hlinkClick xmlns:r="http://schemas.openxmlformats.org/officeDocument/2006/relationships" r:id="rId3"/>
          <a:extLst>
            <a:ext uri="{FF2B5EF4-FFF2-40B4-BE49-F238E27FC236}">
              <a16:creationId xmlns:a16="http://schemas.microsoft.com/office/drawing/2014/main" id="{00000000-0008-0000-0700-00000C000000}"/>
            </a:ext>
          </a:extLst>
        </xdr:cNvPr>
        <xdr:cNvSpPr/>
      </xdr:nvSpPr>
      <xdr:spPr>
        <a:xfrm>
          <a:off x="179940" y="3190877"/>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bg1"/>
              </a:solidFill>
              <a:latin typeface="+mn-lt"/>
              <a:ea typeface="Segoe UI" panose="020B0502040204020203" pitchFamily="34" charset="0"/>
              <a:cs typeface="Segoe UI" panose="020B0502040204020203" pitchFamily="34" charset="0"/>
            </a:rPr>
            <a:t>Служебное задание</a:t>
          </a:r>
          <a:endParaRPr lang="en-US" sz="1400" b="1">
            <a:solidFill>
              <a:schemeClr val="bg1"/>
            </a:solidFill>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9844</xdr:colOff>
      <xdr:row>19</xdr:row>
      <xdr:rowOff>79056</xdr:rowOff>
    </xdr:from>
    <xdr:to>
      <xdr:col>7</xdr:col>
      <xdr:colOff>10610</xdr:colOff>
      <xdr:row>21</xdr:row>
      <xdr:rowOff>118431</xdr:rowOff>
    </xdr:to>
    <xdr:sp macro="" textlink="">
      <xdr:nvSpPr>
        <xdr:cNvPr id="13" name="s_r_submit">
          <a:hlinkClick xmlns:r="http://schemas.openxmlformats.org/officeDocument/2006/relationships" r:id="rId4"/>
          <a:extLst>
            <a:ext uri="{FF2B5EF4-FFF2-40B4-BE49-F238E27FC236}">
              <a16:creationId xmlns:a16="http://schemas.microsoft.com/office/drawing/2014/main" id="{00000000-0008-0000-0700-00000D000000}"/>
            </a:ext>
          </a:extLst>
        </xdr:cNvPr>
        <xdr:cNvSpPr/>
      </xdr:nvSpPr>
      <xdr:spPr>
        <a:xfrm>
          <a:off x="181294" y="3765231"/>
          <a:ext cx="1943866"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Подача заявки</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twoCellAnchor editAs="oneCell">
    <xdr:from>
      <xdr:col>1</xdr:col>
      <xdr:colOff>10537</xdr:colOff>
      <xdr:row>22</xdr:row>
      <xdr:rowOff>149709</xdr:rowOff>
    </xdr:from>
    <xdr:to>
      <xdr:col>7</xdr:col>
      <xdr:colOff>10205</xdr:colOff>
      <xdr:row>24</xdr:row>
      <xdr:rowOff>141459</xdr:rowOff>
    </xdr:to>
    <xdr:sp macro="" textlink="">
      <xdr:nvSpPr>
        <xdr:cNvPr id="14" name="s_r_authorsdb">
          <a:hlinkClick xmlns:r="http://schemas.openxmlformats.org/officeDocument/2006/relationships" r:id="rId5"/>
          <a:extLst>
            <a:ext uri="{FF2B5EF4-FFF2-40B4-BE49-F238E27FC236}">
              <a16:creationId xmlns:a16="http://schemas.microsoft.com/office/drawing/2014/main" id="{00000000-0008-0000-0700-00000E000000}"/>
            </a:ext>
          </a:extLst>
        </xdr:cNvPr>
        <xdr:cNvSpPr/>
      </xdr:nvSpPr>
      <xdr:spPr>
        <a:xfrm>
          <a:off x="181987" y="4502634"/>
          <a:ext cx="1942768" cy="468000"/>
        </a:xfrm>
        <a:prstGeom prst="rect">
          <a:avLst/>
        </a:prstGeom>
        <a:solidFill>
          <a:schemeClr val="bg1">
            <a:lumMod val="85000"/>
          </a:schemeClr>
        </a:solidFill>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solidFill>
                <a:schemeClr val="lt1"/>
              </a:solidFill>
              <a:latin typeface="+mn-lt"/>
              <a:ea typeface="Segoe UI" panose="020B0502040204020203" pitchFamily="34" charset="0"/>
              <a:cs typeface="Segoe UI" panose="020B0502040204020203" pitchFamily="34" charset="0"/>
            </a:rPr>
            <a:t>Настройки</a:t>
          </a:r>
        </a:p>
      </xdr:txBody>
    </xdr:sp>
    <xdr:clientData fPrintsWithSheet="0"/>
  </xdr:twoCellAnchor>
  <xdr:twoCellAnchor editAs="oneCell">
    <xdr:from>
      <xdr:col>1</xdr:col>
      <xdr:colOff>177817</xdr:colOff>
      <xdr:row>1</xdr:row>
      <xdr:rowOff>129993</xdr:rowOff>
    </xdr:from>
    <xdr:to>
      <xdr:col>2</xdr:col>
      <xdr:colOff>321967</xdr:colOff>
      <xdr:row>3</xdr:row>
      <xdr:rowOff>121743</xdr:rowOff>
    </xdr:to>
    <xdr:pic>
      <xdr:nvPicPr>
        <xdr:cNvPr id="15" name="Picture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49267" y="291918"/>
          <a:ext cx="468000" cy="468000"/>
        </a:xfrm>
        <a:prstGeom prst="rect">
          <a:avLst/>
        </a:prstGeom>
        <a:ln>
          <a:noFill/>
        </a:ln>
      </xdr:spPr>
    </xdr:pic>
    <xdr:clientData/>
  </xdr:twoCellAnchor>
  <xdr:twoCellAnchor editAs="oneCell">
    <xdr:from>
      <xdr:col>3</xdr:col>
      <xdr:colOff>104627</xdr:colOff>
      <xdr:row>1</xdr:row>
      <xdr:rowOff>234446</xdr:rowOff>
    </xdr:from>
    <xdr:to>
      <xdr:col>6</xdr:col>
      <xdr:colOff>133202</xdr:colOff>
      <xdr:row>3</xdr:row>
      <xdr:rowOff>110621</xdr:rowOff>
    </xdr:to>
    <xdr:pic>
      <xdr:nvPicPr>
        <xdr:cNvPr id="16" name="Picture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23777" y="396371"/>
          <a:ext cx="1000125" cy="352425"/>
        </a:xfrm>
        <a:prstGeom prst="rect">
          <a:avLst/>
        </a:prstGeom>
        <a:ln>
          <a:noFill/>
        </a:ln>
      </xdr:spPr>
    </xdr:pic>
    <xdr:clientData/>
  </xdr:twoCellAnchor>
  <xdr:twoCellAnchor editAs="oneCell">
    <xdr:from>
      <xdr:col>1</xdr:col>
      <xdr:colOff>9525</xdr:colOff>
      <xdr:row>25</xdr:row>
      <xdr:rowOff>9525</xdr:rowOff>
    </xdr:from>
    <xdr:to>
      <xdr:col>7</xdr:col>
      <xdr:colOff>10425</xdr:colOff>
      <xdr:row>27</xdr:row>
      <xdr:rowOff>1275</xdr:rowOff>
    </xdr:to>
    <xdr:sp macro="" textlink="">
      <xdr:nvSpPr>
        <xdr:cNvPr id="17" name="s_r_authorsdb">
          <a:hlinkClick xmlns:r="http://schemas.openxmlformats.org/officeDocument/2006/relationships" r:id="rId8"/>
          <a:extLst>
            <a:ext uri="{FF2B5EF4-FFF2-40B4-BE49-F238E27FC236}">
              <a16:creationId xmlns:a16="http://schemas.microsoft.com/office/drawing/2014/main" id="{00000000-0008-0000-0700-000011000000}"/>
            </a:ext>
          </a:extLst>
        </xdr:cNvPr>
        <xdr:cNvSpPr/>
      </xdr:nvSpPr>
      <xdr:spPr>
        <a:xfrm>
          <a:off x="180975" y="5076825"/>
          <a:ext cx="1944000" cy="468000"/>
        </a:xfrm>
        <a:prstGeom prst="rect">
          <a:avLst/>
        </a:prstGeom>
        <a:ln/>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ru-RU" sz="1400" b="1">
              <a:latin typeface="+mn-lt"/>
              <a:ea typeface="Segoe UI" panose="020B0502040204020203" pitchFamily="34" charset="0"/>
              <a:cs typeface="Segoe UI" panose="020B0502040204020203" pitchFamily="34" charset="0"/>
            </a:rPr>
            <a:t>База данных авторов</a:t>
          </a:r>
          <a:endParaRPr lang="en-US" sz="1400" b="1">
            <a:latin typeface="+mn-lt"/>
            <a:ea typeface="Segoe UI" panose="020B0502040204020203" pitchFamily="34" charset="0"/>
            <a:cs typeface="Segoe UI" panose="020B0502040204020203" pitchFamily="34" charset="0"/>
          </a:endParaRP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ia_authors_db" displayName="ria_authors_db" ref="J9:V12" totalsRowShown="0" headerRowDxfId="27" dataDxfId="26">
  <autoFilter ref="J9:V1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8" xr3:uid="{00000000-0010-0000-0000-000008000000}" name="ФИО_пол" dataDxfId="25">
      <calculatedColumnFormula>TRIM(CONCATENATE(TRIM(ria_authors_db[[#This Row],[Фамилия]])," ",TRIM(ria_authors_db[[#This Row],[Имя]])," ",TRIM(ria_authors_db[[#This Row],[Отчество]])))</calculatedColumnFormula>
    </tableColumn>
    <tableColumn id="1" xr3:uid="{00000000-0010-0000-0000-000001000000}" name="ФИО_кр" dataDxfId="24">
      <calculatedColumnFormula>TRIM(CONCATENATE(ria_authors_db[[#This Row],[Фамилия]]," ",LEFT(ria_authors_db[[#This Row],[Имя]],1),IF(LEN(ria_authors_db[[#This Row],[Имя]])&gt;1,".","")," ",LEFT(ria_authors_db[[#This Row],[Отчество]],1),IF(LEN(ria_authors_db[[#This Row],[Отчество]])&gt;1,".","")))</calculatedColumnFormula>
    </tableColumn>
    <tableColumn id="5" xr3:uid="{00000000-0010-0000-0000-000005000000}" name="ДР_число" dataDxfId="23">
      <calculatedColumnFormula>TEXT(DAY(ria_authors_db[[#This Row],[Дата рождения]]),"00")</calculatedColumnFormula>
    </tableColumn>
    <tableColumn id="9" xr3:uid="{00000000-0010-0000-0000-000009000000}" name="ДР_месяц" dataDxfId="22">
      <calculatedColumnFormula>TEXT(MONTH(ria_authors_db[[#This Row],[Дата рождения]]),"00")</calculatedColumnFormula>
    </tableColumn>
    <tableColumn id="10" xr3:uid="{00000000-0010-0000-0000-00000A000000}" name="ДР_год" dataDxfId="21">
      <calculatedColumnFormula>TEXT(YEAR(ria_authors_db[[#This Row],[Дата рождения]]),"0000")</calculatedColumnFormula>
    </tableColumn>
    <tableColumn id="11" xr3:uid="{00000000-0010-0000-0000-00000B000000}" name="names_alphabetically" dataDxfId="20">
      <calculatedColumnFormula array="1">INDEX(ria_authors_db[ФИО_пол], MATCH(SMALL(COUNTIF(ria_authors_db[ФИО_пол], "&lt;"&amp;ria_authors_db[ФИО_пол]), ROW(ria_authors_db[[#This Row],[ФИО_пол]])-ROW(ria_authors_db[[#Headers],[ФИО_пол]])), COUNTIF(ria_authors_db[ФИО_пол], "&lt;"&amp;ria_authors_db[ФИО_пол]), 0))</calculatedColumnFormula>
    </tableColumn>
    <tableColumn id="2" xr3:uid="{00000000-0010-0000-0000-000002000000}" name="Фамилия" dataDxfId="19"/>
    <tableColumn id="3" xr3:uid="{00000000-0010-0000-0000-000003000000}" name="Имя" dataDxfId="18"/>
    <tableColumn id="4" xr3:uid="{00000000-0010-0000-0000-000004000000}" name="Отчество" dataDxfId="17"/>
    <tableColumn id="6" xr3:uid="{00000000-0010-0000-0000-000006000000}" name="Дата рождения" dataDxfId="16"/>
    <tableColumn id="7" xr3:uid="{00000000-0010-0000-0000-000007000000}" name="Гражданство" dataDxfId="15"/>
    <tableColumn id="12" xr3:uid="{00000000-0010-0000-0000-00000C000000}" name="Адрес" dataDxfId="14"/>
    <tableColumn id="13" xr3:uid="{00000000-0010-0000-0000-00000D000000}" name="Документ, удостоверяющий личность" dataDxfId="13"/>
  </tableColumns>
  <tableStyleInfo name="TableStyleMedium9 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ia_authors" displayName="ria_authors" ref="J16:L30" headerRowDxfId="12" dataDxfId="11">
  <autoFilter ref="J16:L30" xr:uid="{00000000-0009-0000-0100-000002000000}">
    <filterColumn colId="0" hiddenButton="1"/>
    <filterColumn colId="1" hiddenButton="1"/>
    <filterColumn colId="2" hiddenButton="1"/>
  </autoFilter>
  <tableColumns count="3">
    <tableColumn id="1" xr3:uid="{00000000-0010-0000-0100-000001000000}" name="И.О. заведующий кафедрой" totalsRowLabel="Total" dataDxfId="10"/>
    <tableColumn id="2" xr3:uid="{00000000-0010-0000-0100-000002000000}" name="Творческий вклад" dataDxfId="9" totalsRowDxfId="8"/>
    <tableColumn id="3" xr3:uid="{00000000-0010-0000-0100-000003000000}" name="authors_proper_order" totalsRowFunction="count" dataDxfId="7" totalsRowDxfId="6">
      <calculatedColumnFormula array="1">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calculatedColumnFormula>
    </tableColumn>
  </tableColumns>
  <tableStyleInfo name="TableStyleMedium9 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ria_officialtask_requirements" displayName="ria_officialtask_requirements" ref="L31:L47" totalsRowShown="0" headerRowDxfId="5" dataDxfId="4">
  <autoFilter ref="L31:L47" xr:uid="{00000000-0009-0000-0100-000004000000}">
    <filterColumn colId="0" hiddenButton="1"/>
  </autoFilter>
  <tableColumns count="1">
    <tableColumn id="2" xr3:uid="{00000000-0010-0000-0200-000002000000}" name="Содержание" dataDxfId="3"/>
  </tableColumns>
  <tableStyleInfo name="TableStyleMedium9 2"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ria_officialtask_results" displayName="ria_officialtask_results" ref="O31:O47" totalsRowShown="0" headerRowDxfId="2" dataDxfId="1">
  <autoFilter ref="O31:O47" xr:uid="{00000000-0009-0000-0100-000005000000}">
    <filterColumn colId="0" hiddenButton="1"/>
  </autoFilter>
  <tableColumns count="1">
    <tableColumn id="1" xr3:uid="{00000000-0010-0000-0300-000001000000}" name="Содержание" dataDxfId="0"/>
  </tableColumns>
  <tableStyleInfo name="TableStyleMedium9 2" showFirstColumn="0" showLastColumn="0" showRowStripes="0"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comments" Target="../comments2.xml"/><Relationship Id="rId5" Type="http://schemas.openxmlformats.org/officeDocument/2006/relationships/image" Target="../media/image3.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5.bin"/><Relationship Id="rId1" Type="http://schemas.openxmlformats.org/officeDocument/2006/relationships/hyperlink" Target="mailto:elapov_aa@pfur.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theme="0"/>
  </sheetPr>
  <dimension ref="A1:B4"/>
  <sheetViews>
    <sheetView workbookViewId="0">
      <selection activeCell="F21" sqref="F21"/>
    </sheetView>
  </sheetViews>
  <sheetFormatPr defaultRowHeight="15" x14ac:dyDescent="0.25"/>
  <cols>
    <col min="1" max="1" width="61.42578125" bestFit="1" customWidth="1"/>
    <col min="2" max="2" width="14" customWidth="1"/>
  </cols>
  <sheetData>
    <row r="1" spans="1:2" x14ac:dyDescent="0.25">
      <c r="A1" t="s">
        <v>59</v>
      </c>
      <c r="B1">
        <v>25</v>
      </c>
    </row>
    <row r="2" spans="1:2" x14ac:dyDescent="0.25">
      <c r="A2" t="s">
        <v>64</v>
      </c>
      <c r="B2" s="3">
        <v>43597</v>
      </c>
    </row>
    <row r="3" spans="1:2" x14ac:dyDescent="0.25">
      <c r="A3" t="s">
        <v>65</v>
      </c>
      <c r="B3" t="b">
        <v>0</v>
      </c>
    </row>
    <row r="4" spans="1:2" x14ac:dyDescent="0.25">
      <c r="A4" t="s">
        <v>69</v>
      </c>
      <c r="B4" t="s">
        <v>130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tabColor theme="1" tint="0.14999847407452621"/>
  </sheetPr>
  <dimension ref="A1:T54"/>
  <sheetViews>
    <sheetView showRowColHeaders="0" workbookViewId="0"/>
  </sheetViews>
  <sheetFormatPr defaultRowHeight="15" x14ac:dyDescent="0.25"/>
  <cols>
    <col min="1" max="1" width="2.5703125" style="1" customWidth="1"/>
    <col min="2" max="7" width="4.85546875" style="1" customWidth="1"/>
    <col min="8" max="8" width="2.5703125" style="1" customWidth="1"/>
    <col min="9" max="16384" width="9.140625" style="5"/>
  </cols>
  <sheetData>
    <row r="1" spans="1:20" ht="12.75" customHeight="1" x14ac:dyDescent="0.25">
      <c r="B1" s="2"/>
      <c r="C1" s="2"/>
    </row>
    <row r="2" spans="1:20" ht="22.5" customHeight="1" x14ac:dyDescent="0.25">
      <c r="A2" s="6"/>
      <c r="B2" s="8"/>
      <c r="C2" s="8"/>
      <c r="D2" s="8"/>
      <c r="E2" s="53"/>
      <c r="F2" s="8"/>
      <c r="G2" s="8"/>
      <c r="I2" s="31"/>
      <c r="J2" s="31"/>
      <c r="K2" s="31"/>
      <c r="L2" s="31"/>
      <c r="M2" s="31"/>
      <c r="N2" s="31"/>
      <c r="O2" s="31"/>
      <c r="P2" s="31"/>
      <c r="Q2" s="31"/>
      <c r="R2" s="31"/>
      <c r="S2" s="31"/>
      <c r="T2" s="31"/>
    </row>
    <row r="3" spans="1:20" x14ac:dyDescent="0.25">
      <c r="A3" s="6"/>
      <c r="B3" s="8"/>
      <c r="C3" s="8"/>
      <c r="D3" s="8"/>
      <c r="E3" s="8"/>
      <c r="F3" s="8"/>
      <c r="G3" s="8"/>
      <c r="I3" s="111" t="s">
        <v>119</v>
      </c>
      <c r="J3" s="111"/>
      <c r="K3" s="111"/>
      <c r="L3" s="111"/>
      <c r="M3" s="111"/>
      <c r="N3" s="111"/>
      <c r="O3" s="111"/>
      <c r="P3" s="111"/>
      <c r="Q3" s="111"/>
      <c r="R3" s="111"/>
      <c r="S3" s="111"/>
      <c r="T3" s="111"/>
    </row>
    <row r="4" spans="1:20" x14ac:dyDescent="0.25">
      <c r="A4" s="6"/>
      <c r="B4" s="8"/>
      <c r="C4" s="8"/>
      <c r="D4" s="8"/>
      <c r="E4" s="8"/>
      <c r="F4" s="8"/>
      <c r="G4" s="8"/>
      <c r="I4" s="111"/>
      <c r="J4" s="111"/>
      <c r="K4" s="111"/>
      <c r="L4" s="111"/>
      <c r="M4" s="111"/>
      <c r="N4" s="111"/>
      <c r="O4" s="111"/>
      <c r="P4" s="111"/>
      <c r="Q4" s="111"/>
      <c r="R4" s="111"/>
      <c r="S4" s="111"/>
      <c r="T4" s="111"/>
    </row>
    <row r="5" spans="1:20" x14ac:dyDescent="0.25">
      <c r="A5" s="6"/>
      <c r="B5" s="108" t="s">
        <v>59</v>
      </c>
      <c r="C5" s="108"/>
      <c r="D5" s="108"/>
      <c r="E5" s="108"/>
      <c r="F5" s="108"/>
      <c r="G5" s="108"/>
      <c r="I5" s="31"/>
      <c r="J5" s="31"/>
      <c r="K5" s="31"/>
      <c r="L5" s="31"/>
      <c r="M5" s="31"/>
      <c r="N5" s="31"/>
      <c r="O5" s="31"/>
      <c r="P5" s="31"/>
      <c r="Q5" s="31"/>
      <c r="R5" s="31"/>
      <c r="S5" s="31"/>
      <c r="T5" s="31"/>
    </row>
    <row r="6" spans="1:20" ht="15" customHeight="1" x14ac:dyDescent="0.25">
      <c r="A6" s="6"/>
      <c r="B6" s="8"/>
      <c r="C6" s="109">
        <f>internal!tmpl_version</f>
        <v>25</v>
      </c>
      <c r="D6" s="109"/>
      <c r="E6" s="109"/>
      <c r="F6" s="109"/>
      <c r="G6" s="8"/>
      <c r="I6" s="31"/>
      <c r="J6" s="31"/>
      <c r="K6" s="31"/>
      <c r="L6" s="31"/>
      <c r="M6" s="31"/>
      <c r="N6" s="31"/>
      <c r="O6" s="31"/>
      <c r="P6" s="31"/>
      <c r="Q6" s="31"/>
      <c r="R6" s="31"/>
      <c r="S6" s="31"/>
      <c r="T6" s="31"/>
    </row>
    <row r="7" spans="1:20" ht="15" customHeight="1" x14ac:dyDescent="0.25">
      <c r="A7" s="6"/>
      <c r="B7" s="108" t="s">
        <v>60</v>
      </c>
      <c r="C7" s="108"/>
      <c r="D7" s="108"/>
      <c r="E7" s="108"/>
      <c r="F7" s="108"/>
      <c r="G7" s="108"/>
      <c r="I7" s="31"/>
      <c r="J7" s="112" t="s">
        <v>131</v>
      </c>
      <c r="K7" s="112"/>
      <c r="L7" s="112"/>
      <c r="M7" s="112"/>
      <c r="N7" s="112"/>
      <c r="O7" s="112"/>
      <c r="P7" s="112"/>
      <c r="Q7" s="112"/>
      <c r="R7" s="112"/>
      <c r="S7" s="31"/>
      <c r="T7" s="31"/>
    </row>
    <row r="8" spans="1:20" ht="15" customHeight="1" x14ac:dyDescent="0.25">
      <c r="A8" s="6"/>
      <c r="B8" s="54"/>
      <c r="C8" s="110">
        <f>internal!tmpl_date</f>
        <v>43597</v>
      </c>
      <c r="D8" s="110"/>
      <c r="E8" s="110"/>
      <c r="F8" s="110"/>
      <c r="G8" s="8"/>
      <c r="I8" s="31"/>
      <c r="J8" s="112"/>
      <c r="K8" s="112"/>
      <c r="L8" s="112"/>
      <c r="M8" s="112"/>
      <c r="N8" s="112"/>
      <c r="O8" s="112"/>
      <c r="P8" s="112"/>
      <c r="Q8" s="112"/>
      <c r="R8" s="112"/>
      <c r="S8" s="31"/>
      <c r="T8" s="31"/>
    </row>
    <row r="9" spans="1:20" x14ac:dyDescent="0.25">
      <c r="A9" s="6"/>
      <c r="B9" s="54"/>
      <c r="C9" s="55"/>
      <c r="D9" s="8"/>
      <c r="E9" s="8"/>
      <c r="F9" s="55"/>
      <c r="G9" s="8"/>
      <c r="I9" s="31"/>
      <c r="J9" s="31"/>
      <c r="K9" s="31"/>
      <c r="L9" s="31"/>
      <c r="M9" s="31"/>
      <c r="N9" s="31"/>
      <c r="O9" s="31"/>
      <c r="P9" s="31"/>
      <c r="Q9" s="31"/>
      <c r="R9" s="31"/>
      <c r="S9" s="31"/>
      <c r="T9" s="31"/>
    </row>
    <row r="10" spans="1:20" x14ac:dyDescent="0.25">
      <c r="A10" s="5"/>
      <c r="B10" s="5"/>
      <c r="C10" s="5"/>
      <c r="D10" s="5"/>
      <c r="E10" s="5"/>
      <c r="F10" s="5"/>
      <c r="G10" s="5"/>
      <c r="H10" s="5"/>
      <c r="I10" s="31"/>
      <c r="J10" s="31"/>
      <c r="K10" s="31"/>
      <c r="L10" s="31"/>
      <c r="M10" s="31"/>
      <c r="N10" s="31"/>
      <c r="O10" s="31"/>
      <c r="P10" s="31"/>
      <c r="Q10" s="31"/>
      <c r="R10" s="31"/>
      <c r="S10" s="31"/>
      <c r="T10" s="31"/>
    </row>
    <row r="11" spans="1:20" x14ac:dyDescent="0.25">
      <c r="A11" s="5"/>
      <c r="B11" s="5"/>
      <c r="C11" s="5"/>
      <c r="D11" s="5"/>
      <c r="E11" s="5"/>
      <c r="F11" s="5"/>
      <c r="G11" s="5"/>
      <c r="H11" s="5"/>
      <c r="I11" s="31"/>
      <c r="J11" s="31"/>
      <c r="K11" s="31"/>
      <c r="L11" s="31"/>
      <c r="M11" s="31"/>
      <c r="N11" s="31"/>
      <c r="O11" s="31"/>
      <c r="P11" s="31"/>
      <c r="Q11" s="31"/>
      <c r="R11" s="31"/>
      <c r="S11" s="31"/>
      <c r="T11" s="31"/>
    </row>
    <row r="12" spans="1:20" x14ac:dyDescent="0.25">
      <c r="A12" s="5"/>
      <c r="B12" s="5"/>
      <c r="C12" s="5"/>
      <c r="D12" s="5"/>
      <c r="E12" s="5"/>
      <c r="F12" s="5"/>
      <c r="G12" s="5"/>
      <c r="H12" s="5"/>
      <c r="I12" s="31"/>
      <c r="J12" s="56"/>
      <c r="K12" s="31"/>
      <c r="L12" s="31"/>
      <c r="M12" s="31"/>
      <c r="N12" s="31"/>
      <c r="O12" s="31"/>
      <c r="P12" s="31"/>
      <c r="Q12" s="31"/>
      <c r="R12" s="31"/>
      <c r="S12" s="31"/>
      <c r="T12" s="31"/>
    </row>
    <row r="13" spans="1:20" x14ac:dyDescent="0.25">
      <c r="A13" s="5"/>
      <c r="B13" s="5"/>
      <c r="C13" s="5"/>
      <c r="D13" s="5"/>
      <c r="E13" s="5"/>
      <c r="F13" s="5"/>
      <c r="G13" s="5"/>
      <c r="H13" s="5"/>
      <c r="I13" s="31"/>
      <c r="J13" s="56"/>
      <c r="K13" s="31"/>
      <c r="L13" s="31"/>
      <c r="M13" s="31"/>
      <c r="N13" s="31"/>
      <c r="O13" s="31"/>
      <c r="P13" s="31"/>
      <c r="Q13" s="31"/>
      <c r="R13" s="31"/>
      <c r="S13" s="31"/>
      <c r="T13" s="31"/>
    </row>
    <row r="14" spans="1:20" x14ac:dyDescent="0.25">
      <c r="A14" s="5"/>
      <c r="B14" s="5"/>
      <c r="C14" s="5"/>
      <c r="D14" s="5"/>
      <c r="E14" s="5"/>
      <c r="F14" s="5"/>
      <c r="G14" s="5"/>
      <c r="H14" s="5"/>
      <c r="I14" s="31"/>
      <c r="J14" s="31"/>
      <c r="K14" s="31"/>
      <c r="L14" s="31"/>
      <c r="M14" s="31"/>
      <c r="N14" s="31"/>
      <c r="O14" s="31"/>
      <c r="P14" s="31"/>
      <c r="Q14" s="31"/>
      <c r="R14" s="31"/>
      <c r="S14" s="31"/>
      <c r="T14" s="31"/>
    </row>
    <row r="15" spans="1:20" x14ac:dyDescent="0.25">
      <c r="A15" s="5"/>
      <c r="B15" s="5"/>
      <c r="C15" s="5"/>
      <c r="D15" s="5"/>
      <c r="E15" s="5"/>
      <c r="F15" s="5"/>
      <c r="G15" s="5"/>
      <c r="H15" s="5"/>
      <c r="I15" s="31"/>
      <c r="J15" s="31"/>
      <c r="K15" s="31"/>
      <c r="L15" s="31"/>
      <c r="M15" s="31"/>
      <c r="N15" s="31"/>
      <c r="O15" s="31"/>
      <c r="P15" s="31"/>
      <c r="Q15" s="31"/>
      <c r="R15" s="31"/>
      <c r="S15" s="31"/>
      <c r="T15" s="31"/>
    </row>
    <row r="16" spans="1:20" x14ac:dyDescent="0.25">
      <c r="A16" s="5"/>
      <c r="B16" s="5"/>
      <c r="C16" s="5"/>
      <c r="D16" s="5"/>
      <c r="E16" s="5"/>
      <c r="F16" s="5"/>
      <c r="G16" s="5"/>
      <c r="H16" s="5"/>
      <c r="I16" s="31"/>
      <c r="J16" s="31"/>
      <c r="K16" s="31"/>
      <c r="L16" s="31"/>
      <c r="M16" s="31"/>
      <c r="N16" s="31"/>
      <c r="O16" s="31"/>
      <c r="P16" s="31"/>
      <c r="Q16" s="31"/>
      <c r="R16" s="31"/>
      <c r="S16" s="31"/>
      <c r="T16" s="31"/>
    </row>
    <row r="17" spans="1:20" x14ac:dyDescent="0.25">
      <c r="A17" s="5"/>
      <c r="B17" s="5"/>
      <c r="C17" s="5"/>
      <c r="D17" s="5"/>
      <c r="E17" s="5"/>
      <c r="F17" s="5"/>
      <c r="G17" s="5"/>
      <c r="H17" s="5"/>
      <c r="I17" s="31"/>
      <c r="J17" s="31"/>
      <c r="K17" s="31"/>
      <c r="L17" s="31"/>
      <c r="M17" s="31"/>
      <c r="N17" s="31"/>
      <c r="O17" s="31"/>
      <c r="P17" s="31"/>
      <c r="Q17" s="31"/>
      <c r="R17" s="31"/>
      <c r="S17" s="31"/>
      <c r="T17" s="31"/>
    </row>
    <row r="18" spans="1:20" x14ac:dyDescent="0.25">
      <c r="A18" s="5"/>
      <c r="B18" s="5"/>
      <c r="C18" s="5"/>
      <c r="D18" s="5"/>
      <c r="E18" s="5"/>
      <c r="F18" s="5"/>
      <c r="G18" s="5"/>
      <c r="H18" s="5"/>
      <c r="I18" s="31"/>
      <c r="J18" s="31"/>
      <c r="K18" s="31"/>
      <c r="L18" s="31"/>
      <c r="M18" s="31"/>
      <c r="N18" s="31"/>
      <c r="O18" s="31"/>
      <c r="P18" s="31"/>
      <c r="Q18" s="31"/>
      <c r="R18" s="31"/>
      <c r="S18" s="31"/>
      <c r="T18" s="31"/>
    </row>
    <row r="19" spans="1:20" x14ac:dyDescent="0.25">
      <c r="A19" s="5"/>
      <c r="B19" s="5"/>
      <c r="C19" s="5"/>
      <c r="D19" s="5"/>
      <c r="E19" s="5"/>
      <c r="F19" s="5"/>
      <c r="G19" s="5"/>
      <c r="H19" s="5"/>
      <c r="I19" s="31"/>
      <c r="J19" s="31"/>
      <c r="K19" s="31"/>
      <c r="L19" s="31"/>
      <c r="M19" s="31"/>
      <c r="N19" s="31"/>
      <c r="O19" s="31"/>
      <c r="P19" s="31"/>
      <c r="Q19" s="31"/>
      <c r="R19" s="31"/>
      <c r="S19" s="31"/>
      <c r="T19" s="31"/>
    </row>
    <row r="20" spans="1:20" x14ac:dyDescent="0.25">
      <c r="A20" s="5"/>
      <c r="B20" s="5"/>
      <c r="C20" s="5"/>
      <c r="D20" s="5"/>
      <c r="E20" s="5"/>
      <c r="F20" s="5"/>
      <c r="G20" s="5"/>
      <c r="H20" s="5"/>
    </row>
    <row r="21" spans="1:20" x14ac:dyDescent="0.25">
      <c r="A21" s="5"/>
      <c r="B21" s="5"/>
      <c r="C21" s="5"/>
      <c r="D21" s="5"/>
      <c r="E21" s="5"/>
      <c r="F21" s="5"/>
      <c r="G21" s="5"/>
      <c r="H21" s="5"/>
    </row>
    <row r="22" spans="1:20" x14ac:dyDescent="0.25">
      <c r="A22" s="5"/>
      <c r="B22" s="5"/>
      <c r="C22" s="5"/>
      <c r="D22" s="5"/>
      <c r="E22" s="5"/>
      <c r="F22" s="5"/>
      <c r="G22" s="5"/>
      <c r="H22" s="5"/>
    </row>
    <row r="23" spans="1:20" x14ac:dyDescent="0.25">
      <c r="A23" s="5"/>
      <c r="B23" s="5"/>
      <c r="C23" s="5"/>
      <c r="D23" s="5"/>
      <c r="E23" s="5"/>
      <c r="F23" s="5"/>
      <c r="G23" s="5"/>
      <c r="H23" s="5"/>
    </row>
    <row r="24" spans="1:20" x14ac:dyDescent="0.25">
      <c r="A24" s="5"/>
      <c r="B24" s="5"/>
      <c r="C24" s="5"/>
      <c r="D24" s="5"/>
      <c r="E24" s="5"/>
      <c r="F24" s="5"/>
      <c r="G24" s="5"/>
      <c r="H24" s="5"/>
    </row>
    <row r="25" spans="1:20" x14ac:dyDescent="0.25">
      <c r="A25" s="5"/>
      <c r="B25" s="5"/>
      <c r="C25" s="5"/>
      <c r="D25" s="5"/>
      <c r="E25" s="5"/>
      <c r="F25" s="5"/>
      <c r="G25" s="5"/>
      <c r="H25" s="5"/>
    </row>
    <row r="26" spans="1:20" x14ac:dyDescent="0.25">
      <c r="A26" s="5"/>
      <c r="B26" s="5"/>
      <c r="C26" s="5"/>
      <c r="D26" s="5"/>
      <c r="E26" s="5"/>
      <c r="F26" s="5"/>
      <c r="G26" s="5"/>
      <c r="H26" s="5"/>
    </row>
    <row r="27" spans="1:20" x14ac:dyDescent="0.25">
      <c r="A27" s="5"/>
      <c r="B27" s="5"/>
      <c r="C27" s="5"/>
      <c r="D27" s="5"/>
      <c r="E27" s="5"/>
      <c r="F27" s="5"/>
      <c r="G27" s="5"/>
      <c r="H27" s="5"/>
    </row>
    <row r="28" spans="1:20" x14ac:dyDescent="0.25">
      <c r="A28" s="5"/>
      <c r="B28" s="5"/>
      <c r="C28" s="5"/>
      <c r="D28" s="5"/>
      <c r="E28" s="5"/>
      <c r="F28" s="5"/>
      <c r="G28" s="5"/>
    </row>
    <row r="29" spans="1:20" x14ac:dyDescent="0.25">
      <c r="A29" s="5"/>
      <c r="B29" s="5"/>
      <c r="C29" s="5"/>
      <c r="D29" s="5"/>
      <c r="E29" s="5"/>
      <c r="F29" s="5"/>
      <c r="G29" s="5"/>
    </row>
    <row r="30" spans="1:20" x14ac:dyDescent="0.25">
      <c r="A30" s="5"/>
      <c r="B30" s="5"/>
      <c r="C30" s="5"/>
      <c r="D30" s="5"/>
      <c r="E30" s="5"/>
      <c r="F30" s="5"/>
      <c r="G30" s="5"/>
    </row>
    <row r="31" spans="1:20" x14ac:dyDescent="0.25">
      <c r="A31" s="5"/>
      <c r="B31" s="5"/>
      <c r="C31" s="5"/>
      <c r="D31" s="5"/>
      <c r="E31" s="5"/>
      <c r="F31" s="5"/>
      <c r="G31" s="5"/>
    </row>
    <row r="32" spans="1:20" x14ac:dyDescent="0.25">
      <c r="A32" s="5"/>
      <c r="B32" s="5"/>
      <c r="C32" s="5"/>
      <c r="D32" s="5"/>
      <c r="E32" s="5"/>
      <c r="F32" s="5"/>
      <c r="G32" s="5"/>
    </row>
    <row r="33" spans="1:7" x14ac:dyDescent="0.25">
      <c r="A33" s="5"/>
      <c r="B33" s="5"/>
      <c r="C33" s="5"/>
      <c r="D33" s="5"/>
      <c r="E33" s="5"/>
      <c r="F33" s="5"/>
      <c r="G33" s="5"/>
    </row>
    <row r="34" spans="1:7" x14ac:dyDescent="0.25">
      <c r="A34" s="5"/>
      <c r="B34" s="5"/>
      <c r="C34" s="5"/>
      <c r="D34" s="5"/>
      <c r="E34" s="5"/>
      <c r="F34" s="5"/>
      <c r="G34" s="5"/>
    </row>
    <row r="35" spans="1:7" x14ac:dyDescent="0.25">
      <c r="A35" s="5"/>
      <c r="B35" s="5"/>
      <c r="C35" s="5"/>
      <c r="D35" s="5"/>
      <c r="E35" s="5"/>
      <c r="F35" s="5"/>
      <c r="G35" s="5"/>
    </row>
    <row r="36" spans="1:7" x14ac:dyDescent="0.25">
      <c r="A36" s="5"/>
      <c r="B36" s="5"/>
      <c r="C36" s="5"/>
      <c r="D36" s="5"/>
      <c r="E36" s="5"/>
      <c r="F36" s="5"/>
      <c r="G36" s="5"/>
    </row>
    <row r="37" spans="1:7" x14ac:dyDescent="0.25">
      <c r="A37" s="5"/>
      <c r="B37" s="5"/>
      <c r="C37" s="5"/>
      <c r="D37" s="5"/>
      <c r="E37" s="5"/>
      <c r="F37" s="5"/>
      <c r="G37" s="5"/>
    </row>
    <row r="38" spans="1:7" x14ac:dyDescent="0.25">
      <c r="A38" s="5"/>
      <c r="B38" s="5"/>
      <c r="C38" s="5"/>
      <c r="D38" s="5"/>
      <c r="E38" s="5"/>
      <c r="F38" s="5"/>
      <c r="G38" s="5"/>
    </row>
    <row r="39" spans="1:7" x14ac:dyDescent="0.25">
      <c r="A39" s="5"/>
      <c r="B39" s="5"/>
      <c r="C39" s="5"/>
      <c r="D39" s="5"/>
      <c r="E39" s="5"/>
      <c r="F39" s="5"/>
      <c r="G39" s="5"/>
    </row>
    <row r="40" spans="1:7" x14ac:dyDescent="0.25">
      <c r="A40" s="5"/>
      <c r="B40" s="5"/>
      <c r="C40" s="5"/>
      <c r="D40" s="5"/>
      <c r="E40" s="5"/>
      <c r="F40" s="5"/>
      <c r="G40" s="5"/>
    </row>
    <row r="41" spans="1:7" x14ac:dyDescent="0.25">
      <c r="A41" s="5"/>
      <c r="B41" s="5"/>
      <c r="C41" s="5"/>
      <c r="D41" s="5"/>
      <c r="E41" s="5"/>
      <c r="F41" s="5"/>
      <c r="G41" s="5"/>
    </row>
    <row r="42" spans="1:7" x14ac:dyDescent="0.25">
      <c r="A42" s="5"/>
      <c r="B42" s="5"/>
      <c r="C42" s="5"/>
      <c r="D42" s="5"/>
      <c r="E42" s="5"/>
      <c r="F42" s="5"/>
      <c r="G42" s="5"/>
    </row>
    <row r="43" spans="1:7" x14ac:dyDescent="0.25">
      <c r="A43" s="5"/>
      <c r="B43" s="5"/>
      <c r="C43" s="5"/>
      <c r="D43" s="5"/>
      <c r="E43" s="5"/>
      <c r="F43" s="5"/>
      <c r="G43" s="5"/>
    </row>
    <row r="44" spans="1:7" x14ac:dyDescent="0.25">
      <c r="A44" s="5"/>
      <c r="B44" s="5"/>
      <c r="C44" s="5"/>
      <c r="D44" s="5"/>
      <c r="E44" s="5"/>
      <c r="F44" s="5"/>
      <c r="G44" s="5"/>
    </row>
    <row r="45" spans="1:7" x14ac:dyDescent="0.25">
      <c r="A45" s="5"/>
      <c r="B45" s="5"/>
      <c r="C45" s="5"/>
      <c r="D45" s="5"/>
      <c r="E45" s="5"/>
      <c r="F45" s="5"/>
      <c r="G45" s="5"/>
    </row>
    <row r="46" spans="1:7" x14ac:dyDescent="0.25">
      <c r="A46" s="5"/>
      <c r="B46" s="5"/>
      <c r="C46" s="5"/>
      <c r="D46" s="5"/>
      <c r="E46" s="5"/>
      <c r="F46" s="5"/>
      <c r="G46" s="5"/>
    </row>
    <row r="47" spans="1:7" x14ac:dyDescent="0.25">
      <c r="A47" s="5"/>
      <c r="B47" s="5"/>
      <c r="C47" s="5"/>
      <c r="D47" s="5"/>
      <c r="E47" s="5"/>
      <c r="F47" s="5"/>
      <c r="G47" s="5"/>
    </row>
    <row r="48" spans="1:7" x14ac:dyDescent="0.25">
      <c r="A48" s="6"/>
    </row>
    <row r="49" spans="1:1" x14ac:dyDescent="0.25">
      <c r="A49" s="6"/>
    </row>
    <row r="50" spans="1:1" x14ac:dyDescent="0.25">
      <c r="A50" s="6"/>
    </row>
    <row r="51" spans="1:1" x14ac:dyDescent="0.25">
      <c r="A51" s="6"/>
    </row>
    <row r="52" spans="1:1" x14ac:dyDescent="0.25">
      <c r="A52" s="6"/>
    </row>
    <row r="53" spans="1:1" x14ac:dyDescent="0.25">
      <c r="A53" s="6"/>
    </row>
    <row r="54" spans="1:1" x14ac:dyDescent="0.25">
      <c r="A54" s="6"/>
    </row>
  </sheetData>
  <mergeCells count="6">
    <mergeCell ref="B5:G5"/>
    <mergeCell ref="C6:F6"/>
    <mergeCell ref="B7:G7"/>
    <mergeCell ref="C8:F8"/>
    <mergeCell ref="I3:T4"/>
    <mergeCell ref="J7:R8"/>
  </mergeCell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theme="0" tint="-0.34998626667073579"/>
  </sheetPr>
  <dimension ref="A1:W54"/>
  <sheetViews>
    <sheetView showGridLines="0" showRowColHeaders="0" workbookViewId="0"/>
  </sheetViews>
  <sheetFormatPr defaultRowHeight="15" x14ac:dyDescent="0.25"/>
  <cols>
    <col min="1" max="1" width="2.5703125" style="1" customWidth="1"/>
    <col min="2" max="7" width="4.85546875" style="1" customWidth="1"/>
    <col min="8" max="8" width="2.5703125" style="1" customWidth="1"/>
    <col min="9" max="9" width="5.85546875" style="5" customWidth="1"/>
    <col min="10" max="10" width="31.28515625" style="5" hidden="1" customWidth="1"/>
    <col min="11" max="11" width="15.5703125" style="5" hidden="1" customWidth="1"/>
    <col min="12" max="12" width="12.140625" style="5" hidden="1" customWidth="1"/>
    <col min="13" max="13" width="12.5703125" style="5" hidden="1" customWidth="1"/>
    <col min="14" max="14" width="10" style="5" hidden="1" customWidth="1"/>
    <col min="15" max="15" width="31.28515625" style="5" hidden="1" customWidth="1"/>
    <col min="16" max="16" width="17.85546875" style="5" customWidth="1"/>
    <col min="17" max="17" width="16.5703125" style="5" customWidth="1"/>
    <col min="18" max="18" width="21.7109375" style="5" customWidth="1"/>
    <col min="19" max="19" width="17.28515625" style="5" bestFit="1" customWidth="1"/>
    <col min="20" max="20" width="25.7109375" style="5" customWidth="1"/>
    <col min="21" max="21" width="37.85546875" style="5" customWidth="1"/>
    <col min="22" max="22" width="67" style="5" customWidth="1"/>
    <col min="23" max="23" width="6.28515625" style="5" customWidth="1"/>
    <col min="24" max="16384" width="9.140625" style="5"/>
  </cols>
  <sheetData>
    <row r="1" spans="1:23" ht="12.75" customHeight="1" x14ac:dyDescent="0.25">
      <c r="B1" s="2"/>
      <c r="C1" s="2"/>
    </row>
    <row r="2" spans="1:23" ht="22.5" customHeight="1" x14ac:dyDescent="0.25">
      <c r="A2" s="6"/>
      <c r="B2" s="4"/>
      <c r="C2" s="4"/>
      <c r="D2" s="4"/>
      <c r="E2" s="24"/>
      <c r="F2" s="4"/>
      <c r="G2" s="4"/>
      <c r="I2" s="8"/>
      <c r="J2" s="31"/>
      <c r="K2" s="31"/>
      <c r="L2" s="31"/>
      <c r="M2" s="31"/>
      <c r="N2" s="31"/>
      <c r="O2" s="31"/>
      <c r="P2" s="31"/>
      <c r="Q2" s="31"/>
      <c r="R2" s="31"/>
      <c r="S2" s="31"/>
      <c r="T2" s="31"/>
      <c r="U2" s="31"/>
      <c r="V2" s="31"/>
      <c r="W2" s="31"/>
    </row>
    <row r="3" spans="1:23" ht="15" customHeight="1" x14ac:dyDescent="0.25">
      <c r="A3" s="6"/>
      <c r="B3" s="4"/>
      <c r="C3" s="4"/>
      <c r="D3" s="4"/>
      <c r="E3" s="4"/>
      <c r="F3" s="4"/>
      <c r="G3" s="4"/>
      <c r="I3" s="111" t="s">
        <v>118</v>
      </c>
      <c r="J3" s="111"/>
      <c r="K3" s="111"/>
      <c r="L3" s="111"/>
      <c r="M3" s="111"/>
      <c r="N3" s="111"/>
      <c r="O3" s="111"/>
      <c r="P3" s="111"/>
      <c r="Q3" s="111"/>
      <c r="R3" s="111"/>
      <c r="S3" s="111"/>
      <c r="T3" s="111"/>
      <c r="U3" s="111"/>
      <c r="V3" s="111"/>
      <c r="W3" s="111"/>
    </row>
    <row r="4" spans="1:23" ht="15" customHeight="1" x14ac:dyDescent="0.25">
      <c r="A4" s="6"/>
      <c r="B4" s="4"/>
      <c r="C4" s="4"/>
      <c r="D4" s="4"/>
      <c r="E4" s="4"/>
      <c r="F4" s="4"/>
      <c r="G4" s="4"/>
      <c r="I4" s="111"/>
      <c r="J4" s="111"/>
      <c r="K4" s="111"/>
      <c r="L4" s="111"/>
      <c r="M4" s="111"/>
      <c r="N4" s="111"/>
      <c r="O4" s="111"/>
      <c r="P4" s="111"/>
      <c r="Q4" s="111"/>
      <c r="R4" s="111"/>
      <c r="S4" s="111"/>
      <c r="T4" s="111"/>
      <c r="U4" s="111"/>
      <c r="V4" s="111"/>
      <c r="W4" s="111"/>
    </row>
    <row r="5" spans="1:23" ht="15" customHeight="1" x14ac:dyDescent="0.25">
      <c r="A5" s="6"/>
      <c r="B5" s="115" t="s">
        <v>59</v>
      </c>
      <c r="C5" s="115"/>
      <c r="D5" s="115"/>
      <c r="E5" s="115"/>
      <c r="F5" s="115"/>
      <c r="G5" s="115"/>
      <c r="I5" s="8"/>
      <c r="J5" s="31"/>
      <c r="K5" s="31"/>
      <c r="L5" s="31"/>
      <c r="M5" s="31"/>
      <c r="N5" s="31"/>
      <c r="O5" s="31"/>
      <c r="P5" s="31"/>
      <c r="Q5" s="31"/>
      <c r="R5" s="31"/>
      <c r="S5" s="31"/>
      <c r="T5" s="31"/>
      <c r="U5" s="31"/>
      <c r="V5" s="31"/>
      <c r="W5" s="31"/>
    </row>
    <row r="6" spans="1:23" ht="15" customHeight="1" x14ac:dyDescent="0.25">
      <c r="A6" s="6"/>
      <c r="B6" s="4"/>
      <c r="C6" s="113">
        <f>internal!tmpl_version</f>
        <v>25</v>
      </c>
      <c r="D6" s="113"/>
      <c r="E6" s="113"/>
      <c r="F6" s="113"/>
      <c r="G6" s="4"/>
      <c r="I6" s="8"/>
      <c r="J6" s="31"/>
      <c r="K6" s="31"/>
      <c r="L6" s="31"/>
      <c r="M6" s="31"/>
      <c r="N6" s="31"/>
      <c r="O6" s="31"/>
      <c r="P6" s="31"/>
      <c r="Q6" s="31"/>
      <c r="R6" s="31"/>
      <c r="S6" s="31"/>
      <c r="T6" s="31"/>
      <c r="U6" s="31"/>
      <c r="V6" s="31"/>
      <c r="W6" s="31"/>
    </row>
    <row r="7" spans="1:23" ht="15" customHeight="1" x14ac:dyDescent="0.25">
      <c r="A7" s="6"/>
      <c r="B7" s="115" t="s">
        <v>60</v>
      </c>
      <c r="C7" s="115"/>
      <c r="D7" s="115"/>
      <c r="E7" s="115"/>
      <c r="F7" s="115"/>
      <c r="G7" s="115"/>
      <c r="I7" s="8"/>
      <c r="J7" s="31"/>
      <c r="K7" s="31"/>
      <c r="L7" s="31"/>
      <c r="M7" s="31"/>
      <c r="N7" s="31"/>
      <c r="O7" s="31"/>
      <c r="P7" s="31"/>
      <c r="Q7" s="31"/>
      <c r="R7" s="31"/>
      <c r="S7" s="31"/>
      <c r="T7" s="31"/>
      <c r="U7" s="31"/>
      <c r="V7" s="31"/>
      <c r="W7" s="31"/>
    </row>
    <row r="8" spans="1:23" ht="15" customHeight="1" x14ac:dyDescent="0.25">
      <c r="A8" s="6"/>
      <c r="B8" s="25"/>
      <c r="C8" s="114">
        <f>internal!tmpl_date</f>
        <v>43597</v>
      </c>
      <c r="D8" s="114"/>
      <c r="E8" s="114"/>
      <c r="F8" s="114"/>
      <c r="G8" s="4"/>
      <c r="I8" s="8"/>
      <c r="J8" s="31"/>
      <c r="K8" s="31"/>
      <c r="L8" s="31"/>
      <c r="M8" s="31"/>
      <c r="N8" s="31"/>
      <c r="O8" s="31"/>
      <c r="P8" s="31"/>
      <c r="Q8" s="31"/>
      <c r="R8" s="31"/>
      <c r="S8" s="31"/>
      <c r="T8" s="31"/>
      <c r="U8" s="31"/>
      <c r="V8" s="31"/>
      <c r="W8" s="31"/>
    </row>
    <row r="9" spans="1:23" ht="15" customHeight="1" x14ac:dyDescent="0.25">
      <c r="A9" s="6"/>
      <c r="B9" s="25"/>
      <c r="C9" s="26"/>
      <c r="D9" s="4"/>
      <c r="E9" s="4"/>
      <c r="F9" s="26"/>
      <c r="G9" s="4"/>
      <c r="I9" s="8"/>
      <c r="J9" s="44" t="s">
        <v>61</v>
      </c>
      <c r="K9" s="44" t="s">
        <v>62</v>
      </c>
      <c r="L9" s="44" t="s">
        <v>31</v>
      </c>
      <c r="M9" s="44" t="s">
        <v>32</v>
      </c>
      <c r="N9" s="44" t="s">
        <v>33</v>
      </c>
      <c r="O9" s="44" t="s">
        <v>63</v>
      </c>
      <c r="P9" s="50" t="s">
        <v>14</v>
      </c>
      <c r="Q9" s="50" t="s">
        <v>15</v>
      </c>
      <c r="R9" s="50" t="s">
        <v>16</v>
      </c>
      <c r="S9" s="50" t="s">
        <v>26</v>
      </c>
      <c r="T9" s="50" t="s">
        <v>27</v>
      </c>
      <c r="U9" s="50" t="s">
        <v>34</v>
      </c>
      <c r="V9" s="50" t="s">
        <v>38</v>
      </c>
      <c r="W9" s="31"/>
    </row>
    <row r="10" spans="1:23" ht="33.75" customHeight="1" x14ac:dyDescent="0.25">
      <c r="A10" s="5"/>
      <c r="B10" s="5"/>
      <c r="C10" s="5"/>
      <c r="D10" s="5"/>
      <c r="E10" s="5"/>
      <c r="F10" s="5"/>
      <c r="G10" s="5"/>
      <c r="H10" s="5"/>
      <c r="I10" s="8"/>
      <c r="J10" s="20" t="str">
        <f>TRIM(CONCATENATE(TRIM(ria_authors_db[[#This Row],[Фамилия]])," ",TRIM(ria_authors_db[[#This Row],[Имя]])," ",TRIM(ria_authors_db[[#This Row],[Отчество]])))</f>
        <v>Жуков Вячеслав Владимирович</v>
      </c>
      <c r="K10" s="20" t="str">
        <f>TRIM(CONCATENATE(ria_authors_db[[#This Row],[Фамилия]]," ",LEFT(ria_authors_db[[#This Row],[Имя]],1),IF(LEN(ria_authors_db[[#This Row],[Имя]])&gt;1,".","")," ",LEFT(ria_authors_db[[#This Row],[Отчество]],1),IF(LEN(ria_authors_db[[#This Row],[Отчество]])&gt;1,".","")))</f>
        <v>Жуков В. В.</v>
      </c>
      <c r="L10" s="20" t="str">
        <f>TEXT(DAY(ria_authors_db[[#This Row],[Дата рождения]]),"00")</f>
        <v>11</v>
      </c>
      <c r="M10" s="20" t="str">
        <f>TEXT(MONTH(ria_authors_db[[#This Row],[Дата рождения]]),"00")</f>
        <v>09</v>
      </c>
      <c r="N10" s="20" t="str">
        <f>TEXT(YEAR(ria_authors_db[[#This Row],[Дата рождения]]),"0000")</f>
        <v>1990</v>
      </c>
      <c r="O10" s="23" t="str">
        <f t="array" ref="O10">INDEX(ria_authors_db[ФИО_пол], MATCH(SMALL(COUNTIF(ria_authors_db[ФИО_пол], "&lt;"&amp;ria_authors_db[ФИО_пол]), ROW(ria_authors_db[[#This Row],[ФИО_пол]])-ROW(ria_authors_db[[#Headers],[ФИО_пол]])), COUNTIF(ria_authors_db[ФИО_пол], "&lt;"&amp;ria_authors_db[ФИО_пол]), 0))</f>
        <v>Жуков Вячеслав Владимирович</v>
      </c>
      <c r="P10" s="45" t="s">
        <v>17</v>
      </c>
      <c r="Q10" s="45" t="s">
        <v>18</v>
      </c>
      <c r="R10" s="46" t="s">
        <v>19</v>
      </c>
      <c r="S10" s="47">
        <v>33127</v>
      </c>
      <c r="T10" s="47" t="s">
        <v>28</v>
      </c>
      <c r="U10" s="48" t="s">
        <v>35</v>
      </c>
      <c r="V10" s="48" t="s">
        <v>39</v>
      </c>
      <c r="W10" s="31"/>
    </row>
    <row r="11" spans="1:23" ht="33.75" customHeight="1" x14ac:dyDescent="0.25">
      <c r="A11" s="5"/>
      <c r="B11" s="5"/>
      <c r="C11" s="5"/>
      <c r="D11" s="5"/>
      <c r="E11" s="5"/>
      <c r="F11" s="5"/>
      <c r="G11" s="5"/>
      <c r="H11" s="5"/>
      <c r="I11" s="8"/>
      <c r="J11" s="20" t="str">
        <f>TRIM(CONCATENATE(TRIM(ria_authors_db[[#This Row],[Фамилия]])," ",TRIM(ria_authors_db[[#This Row],[Имя]])," ",TRIM(ria_authors_db[[#This Row],[Отчество]])))</f>
        <v>Михайлов Юрий Александрович</v>
      </c>
      <c r="K11" s="20" t="str">
        <f>TRIM(CONCATENATE(ria_authors_db[[#This Row],[Фамилия]]," ",LEFT(ria_authors_db[[#This Row],[Имя]],1),IF(LEN(ria_authors_db[[#This Row],[Имя]])&gt;1,".","")," ",LEFT(ria_authors_db[[#This Row],[Отчество]],1),IF(LEN(ria_authors_db[[#This Row],[Отчество]])&gt;1,".","")))</f>
        <v>Михайлов Ю. А.</v>
      </c>
      <c r="L11" s="20" t="str">
        <f>TEXT(DAY(ria_authors_db[[#This Row],[Дата рождения]]),"00")</f>
        <v>11</v>
      </c>
      <c r="M11" s="20" t="str">
        <f>TEXT(MONTH(ria_authors_db[[#This Row],[Дата рождения]]),"00")</f>
        <v>08</v>
      </c>
      <c r="N11" s="20" t="str">
        <f>TEXT(YEAR(ria_authors_db[[#This Row],[Дата рождения]]),"0000")</f>
        <v>1997</v>
      </c>
      <c r="O11" s="23" t="str">
        <f t="array" ref="O11">INDEX(ria_authors_db[ФИО_пол], MATCH(SMALL(COUNTIF(ria_authors_db[ФИО_пол], "&lt;"&amp;ria_authors_db[ФИО_пол]), ROW(ria_authors_db[[#This Row],[ФИО_пол]])-ROW(ria_authors_db[[#Headers],[ФИО_пол]])), COUNTIF(ria_authors_db[ФИО_пол], "&lt;"&amp;ria_authors_db[ФИО_пол]), 0))</f>
        <v>Михайлов Юрий Александрович</v>
      </c>
      <c r="P11" s="45" t="s">
        <v>20</v>
      </c>
      <c r="Q11" s="45" t="s">
        <v>21</v>
      </c>
      <c r="R11" s="46" t="s">
        <v>22</v>
      </c>
      <c r="S11" s="47">
        <v>35653</v>
      </c>
      <c r="T11" s="47" t="s">
        <v>28</v>
      </c>
      <c r="U11" s="48" t="s">
        <v>36</v>
      </c>
      <c r="V11" s="48" t="s">
        <v>40</v>
      </c>
      <c r="W11" s="31"/>
    </row>
    <row r="12" spans="1:23" ht="33.75" customHeight="1" x14ac:dyDescent="0.25">
      <c r="A12" s="5"/>
      <c r="B12" s="5"/>
      <c r="C12" s="5"/>
      <c r="D12" s="5"/>
      <c r="E12" s="5"/>
      <c r="F12" s="5"/>
      <c r="G12" s="5"/>
      <c r="H12" s="5"/>
      <c r="I12" s="8"/>
      <c r="J12" s="20" t="str">
        <f>TRIM(CONCATENATE(TRIM(ria_authors_db[[#This Row],[Фамилия]])," ",TRIM(ria_authors_db[[#This Row],[Имя]])," ",TRIM(ria_authors_db[[#This Row],[Отчество]])))</f>
        <v>Осипова Елизавета Евгеньевна</v>
      </c>
      <c r="K12" s="20" t="str">
        <f>TRIM(CONCATENATE(ria_authors_db[[#This Row],[Фамилия]]," ",LEFT(ria_authors_db[[#This Row],[Имя]],1),IF(LEN(ria_authors_db[[#This Row],[Имя]])&gt;1,".","")," ",LEFT(ria_authors_db[[#This Row],[Отчество]],1),IF(LEN(ria_authors_db[[#This Row],[Отчество]])&gt;1,".","")))</f>
        <v>Осипова Е. Е.</v>
      </c>
      <c r="L12" s="20" t="str">
        <f>TEXT(DAY(ria_authors_db[[#This Row],[Дата рождения]]),"00")</f>
        <v>07</v>
      </c>
      <c r="M12" s="20" t="str">
        <f>TEXT(MONTH(ria_authors_db[[#This Row],[Дата рождения]]),"00")</f>
        <v>12</v>
      </c>
      <c r="N12" s="20" t="str">
        <f>TEXT(YEAR(ria_authors_db[[#This Row],[Дата рождения]]),"0000")</f>
        <v>1997</v>
      </c>
      <c r="O12" s="23" t="str">
        <f t="array" ref="O12">INDEX(ria_authors_db[ФИО_пол], MATCH(SMALL(COUNTIF(ria_authors_db[ФИО_пол], "&lt;"&amp;ria_authors_db[ФИО_пол]), ROW(ria_authors_db[[#This Row],[ФИО_пол]])-ROW(ria_authors_db[[#Headers],[ФИО_пол]])), COUNTIF(ria_authors_db[ФИО_пол], "&lt;"&amp;ria_authors_db[ФИО_пол]), 0))</f>
        <v>Осипова Елизавета Евгеньевна</v>
      </c>
      <c r="P12" s="45" t="s">
        <v>23</v>
      </c>
      <c r="Q12" s="45" t="s">
        <v>24</v>
      </c>
      <c r="R12" s="46" t="s">
        <v>25</v>
      </c>
      <c r="S12" s="47">
        <v>35771</v>
      </c>
      <c r="T12" s="47" t="s">
        <v>28</v>
      </c>
      <c r="U12" s="48" t="s">
        <v>37</v>
      </c>
      <c r="V12" s="48" t="s">
        <v>41</v>
      </c>
      <c r="W12" s="31"/>
    </row>
    <row r="13" spans="1:23" ht="33.75" customHeight="1" x14ac:dyDescent="0.25">
      <c r="A13" s="5"/>
      <c r="B13" s="5"/>
      <c r="C13" s="5"/>
      <c r="D13" s="5"/>
      <c r="E13" s="5"/>
      <c r="F13" s="5"/>
      <c r="G13" s="5"/>
      <c r="H13" s="5"/>
      <c r="I13" s="8"/>
      <c r="J13" s="31"/>
      <c r="K13" s="31"/>
      <c r="L13" s="31"/>
      <c r="M13" s="31"/>
      <c r="N13" s="31"/>
      <c r="O13" s="31"/>
      <c r="P13" s="31"/>
      <c r="Q13" s="31"/>
      <c r="R13" s="31"/>
      <c r="S13" s="31"/>
      <c r="T13" s="31"/>
      <c r="U13" s="31"/>
      <c r="V13" s="31"/>
      <c r="W13" s="31"/>
    </row>
    <row r="14" spans="1:23" ht="33.75" customHeight="1" x14ac:dyDescent="0.25">
      <c r="A14" s="5"/>
      <c r="B14" s="5"/>
      <c r="C14" s="5"/>
      <c r="D14" s="5"/>
      <c r="E14" s="5"/>
      <c r="F14" s="5"/>
      <c r="G14" s="5"/>
      <c r="H14" s="5"/>
      <c r="I14" s="8"/>
      <c r="J14" s="31"/>
      <c r="K14" s="31"/>
      <c r="L14" s="31"/>
      <c r="M14" s="31"/>
      <c r="N14" s="31"/>
      <c r="O14" s="31"/>
      <c r="P14" s="31"/>
      <c r="Q14" s="31"/>
      <c r="R14" s="31"/>
      <c r="S14" s="31"/>
      <c r="T14" s="31"/>
      <c r="U14" s="31"/>
      <c r="V14" s="31"/>
      <c r="W14" s="31"/>
    </row>
    <row r="15" spans="1:23" ht="33.75" customHeight="1" x14ac:dyDescent="0.25">
      <c r="A15" s="5"/>
      <c r="B15" s="5"/>
      <c r="C15" s="5"/>
      <c r="D15" s="5"/>
      <c r="E15" s="5"/>
      <c r="F15" s="5"/>
      <c r="G15" s="5"/>
      <c r="H15" s="5"/>
      <c r="I15" s="8"/>
      <c r="J15" s="31"/>
      <c r="K15" s="31"/>
      <c r="L15" s="31"/>
      <c r="M15" s="31"/>
      <c r="N15" s="31"/>
      <c r="O15" s="31"/>
      <c r="P15" s="31"/>
      <c r="Q15" s="31"/>
      <c r="R15" s="31"/>
      <c r="S15" s="31"/>
      <c r="T15" s="31"/>
      <c r="U15" s="31"/>
      <c r="V15" s="31"/>
      <c r="W15" s="31"/>
    </row>
    <row r="16" spans="1:23" ht="33.75" customHeight="1" x14ac:dyDescent="0.25">
      <c r="A16" s="5"/>
      <c r="B16" s="5"/>
      <c r="C16" s="5"/>
      <c r="D16" s="5"/>
      <c r="E16" s="5"/>
      <c r="F16" s="5"/>
      <c r="G16" s="5"/>
      <c r="H16" s="5"/>
      <c r="I16" s="8"/>
      <c r="J16" s="31"/>
      <c r="K16" s="31"/>
      <c r="L16" s="31"/>
      <c r="M16" s="31"/>
      <c r="N16" s="31"/>
      <c r="O16" s="31"/>
      <c r="P16" s="31"/>
      <c r="Q16" s="31"/>
      <c r="R16" s="31"/>
      <c r="S16" s="31"/>
      <c r="T16" s="31"/>
      <c r="U16" s="31"/>
      <c r="V16" s="31"/>
      <c r="W16" s="31"/>
    </row>
    <row r="17" spans="1:23" ht="33.75" customHeight="1" x14ac:dyDescent="0.25">
      <c r="A17" s="5"/>
      <c r="B17" s="5"/>
      <c r="C17" s="5"/>
      <c r="D17" s="5"/>
      <c r="E17" s="5"/>
      <c r="F17" s="5"/>
      <c r="G17" s="5"/>
      <c r="H17" s="5"/>
      <c r="I17" s="8"/>
      <c r="J17" s="31"/>
      <c r="K17" s="31"/>
      <c r="L17" s="31"/>
      <c r="M17" s="31"/>
      <c r="N17" s="31"/>
      <c r="O17" s="31"/>
      <c r="P17" s="31"/>
      <c r="Q17" s="31"/>
      <c r="R17" s="31"/>
      <c r="S17" s="31"/>
      <c r="T17" s="31"/>
      <c r="U17" s="31"/>
      <c r="V17" s="31"/>
      <c r="W17" s="31"/>
    </row>
    <row r="18" spans="1:23" ht="33.75" customHeight="1" x14ac:dyDescent="0.25">
      <c r="A18" s="5"/>
      <c r="B18" s="5"/>
      <c r="C18" s="5"/>
      <c r="D18" s="5"/>
      <c r="E18" s="5"/>
      <c r="F18" s="5"/>
      <c r="G18" s="5"/>
      <c r="H18" s="5"/>
      <c r="I18" s="1"/>
    </row>
    <row r="19" spans="1:23" ht="33.75" customHeight="1" x14ac:dyDescent="0.25">
      <c r="A19" s="5"/>
      <c r="B19" s="5"/>
      <c r="C19" s="5"/>
      <c r="D19" s="5"/>
      <c r="E19" s="5"/>
      <c r="F19" s="5"/>
      <c r="G19" s="5"/>
      <c r="H19" s="5"/>
    </row>
    <row r="20" spans="1:23" ht="33.75" customHeight="1" x14ac:dyDescent="0.25">
      <c r="A20" s="5"/>
      <c r="B20" s="5"/>
      <c r="C20" s="5"/>
      <c r="D20" s="5"/>
      <c r="E20" s="5"/>
      <c r="F20" s="5"/>
      <c r="G20" s="5"/>
      <c r="H20" s="5"/>
    </row>
    <row r="21" spans="1:23" ht="33.75" customHeight="1" x14ac:dyDescent="0.25">
      <c r="A21" s="5"/>
      <c r="B21" s="5"/>
      <c r="C21" s="5"/>
      <c r="D21" s="5"/>
      <c r="E21" s="5"/>
      <c r="F21" s="5"/>
      <c r="G21" s="5"/>
      <c r="H21" s="5"/>
    </row>
    <row r="22" spans="1:23" ht="33.75" customHeight="1" x14ac:dyDescent="0.25">
      <c r="A22" s="5"/>
      <c r="B22" s="5"/>
      <c r="C22" s="5"/>
      <c r="D22" s="5"/>
      <c r="E22" s="5"/>
      <c r="F22" s="5"/>
      <c r="G22" s="5"/>
      <c r="H22" s="5"/>
    </row>
    <row r="23" spans="1:23" ht="33.75" customHeight="1" x14ac:dyDescent="0.25">
      <c r="A23" s="5"/>
      <c r="B23" s="5"/>
      <c r="C23" s="5"/>
      <c r="D23" s="5"/>
      <c r="E23" s="5"/>
      <c r="F23" s="5"/>
      <c r="G23" s="5"/>
      <c r="H23" s="5"/>
    </row>
    <row r="24" spans="1:23" ht="33.75" customHeight="1" x14ac:dyDescent="0.25">
      <c r="A24" s="5"/>
      <c r="B24" s="5"/>
      <c r="C24" s="5"/>
      <c r="D24" s="5"/>
      <c r="E24" s="5"/>
      <c r="F24" s="5"/>
      <c r="G24" s="5"/>
      <c r="H24" s="5"/>
    </row>
    <row r="25" spans="1:23" ht="33.75" customHeight="1" x14ac:dyDescent="0.25">
      <c r="A25" s="5"/>
      <c r="B25" s="5"/>
      <c r="C25" s="5"/>
      <c r="D25" s="5"/>
      <c r="E25" s="5"/>
      <c r="F25" s="5"/>
      <c r="G25" s="5"/>
      <c r="H25" s="5"/>
    </row>
    <row r="26" spans="1:23" ht="33.75" customHeight="1" x14ac:dyDescent="0.25">
      <c r="A26" s="5"/>
      <c r="B26" s="5"/>
      <c r="C26" s="5"/>
      <c r="D26" s="5"/>
      <c r="E26" s="5"/>
      <c r="F26" s="5"/>
      <c r="G26" s="5"/>
      <c r="H26" s="5"/>
    </row>
    <row r="27" spans="1:23" ht="33.75" customHeight="1" x14ac:dyDescent="0.25">
      <c r="A27" s="5"/>
      <c r="B27" s="5"/>
      <c r="C27" s="5"/>
      <c r="D27" s="5"/>
      <c r="E27" s="5"/>
      <c r="F27" s="5"/>
      <c r="G27" s="5"/>
      <c r="H27" s="5"/>
    </row>
    <row r="28" spans="1:23" ht="33.75" customHeight="1" x14ac:dyDescent="0.25">
      <c r="A28" s="5"/>
      <c r="B28" s="5"/>
      <c r="C28" s="5"/>
      <c r="D28" s="5"/>
      <c r="E28" s="5"/>
      <c r="F28" s="5"/>
      <c r="G28" s="5"/>
      <c r="H28" s="5"/>
    </row>
    <row r="29" spans="1:23" ht="33.75" customHeight="1" x14ac:dyDescent="0.25">
      <c r="A29" s="5"/>
      <c r="B29" s="5"/>
      <c r="C29" s="5"/>
      <c r="D29" s="5"/>
      <c r="E29" s="5"/>
      <c r="F29" s="5"/>
      <c r="G29" s="5"/>
      <c r="H29" s="5"/>
    </row>
    <row r="30" spans="1:23" ht="33.75" customHeight="1" x14ac:dyDescent="0.25">
      <c r="A30" s="5"/>
      <c r="B30" s="5"/>
      <c r="C30" s="5"/>
      <c r="D30" s="5"/>
      <c r="E30" s="5"/>
      <c r="F30" s="5"/>
      <c r="G30" s="5"/>
      <c r="H30" s="5"/>
    </row>
    <row r="31" spans="1:23" ht="33.75" customHeight="1" x14ac:dyDescent="0.25">
      <c r="A31" s="5"/>
      <c r="B31" s="5"/>
      <c r="C31" s="5"/>
      <c r="D31" s="5"/>
      <c r="E31" s="5"/>
      <c r="F31" s="5"/>
      <c r="G31" s="5"/>
      <c r="H31" s="5"/>
    </row>
    <row r="32" spans="1:23" ht="33.75" customHeight="1" x14ac:dyDescent="0.25">
      <c r="A32" s="5"/>
      <c r="B32" s="5"/>
      <c r="C32" s="5"/>
      <c r="D32" s="5"/>
      <c r="E32" s="5"/>
      <c r="F32" s="5"/>
      <c r="G32" s="5"/>
      <c r="H32" s="5"/>
    </row>
    <row r="33" spans="1:8" ht="33.75" customHeight="1" x14ac:dyDescent="0.25">
      <c r="A33" s="5"/>
      <c r="B33" s="5"/>
      <c r="C33" s="5"/>
      <c r="D33" s="5"/>
      <c r="E33" s="5"/>
      <c r="F33" s="5"/>
      <c r="G33" s="5"/>
      <c r="H33" s="5"/>
    </row>
    <row r="34" spans="1:8" ht="33.75" customHeight="1" x14ac:dyDescent="0.25">
      <c r="A34" s="5"/>
      <c r="B34" s="5"/>
      <c r="C34" s="5"/>
      <c r="D34" s="5"/>
      <c r="E34" s="5"/>
      <c r="F34" s="5"/>
      <c r="G34" s="5"/>
      <c r="H34" s="5"/>
    </row>
    <row r="35" spans="1:8" ht="33.75" customHeight="1" x14ac:dyDescent="0.25">
      <c r="A35" s="5"/>
      <c r="B35" s="5"/>
      <c r="C35" s="5"/>
      <c r="D35" s="5"/>
      <c r="E35" s="5"/>
      <c r="F35" s="5"/>
      <c r="G35" s="5"/>
      <c r="H35" s="5"/>
    </row>
    <row r="36" spans="1:8" x14ac:dyDescent="0.25">
      <c r="A36" s="5"/>
      <c r="B36" s="5"/>
      <c r="C36" s="5"/>
      <c r="D36" s="5"/>
      <c r="E36" s="5"/>
      <c r="F36" s="5"/>
      <c r="G36" s="5"/>
      <c r="H36" s="5"/>
    </row>
    <row r="37" spans="1:8" x14ac:dyDescent="0.25">
      <c r="A37" s="5"/>
      <c r="B37" s="5"/>
      <c r="C37" s="5"/>
      <c r="D37" s="5"/>
      <c r="E37" s="5"/>
      <c r="F37" s="5"/>
      <c r="G37" s="5"/>
      <c r="H37" s="5"/>
    </row>
    <row r="38" spans="1:8" x14ac:dyDescent="0.25">
      <c r="A38" s="5"/>
      <c r="B38" s="5"/>
      <c r="C38" s="5"/>
      <c r="D38" s="5"/>
      <c r="E38" s="5"/>
      <c r="F38" s="5"/>
      <c r="G38" s="5"/>
      <c r="H38" s="5"/>
    </row>
    <row r="39" spans="1:8" x14ac:dyDescent="0.25">
      <c r="A39" s="5"/>
      <c r="B39" s="5"/>
      <c r="C39" s="5"/>
      <c r="D39" s="5"/>
      <c r="E39" s="5"/>
      <c r="F39" s="5"/>
      <c r="G39" s="5"/>
      <c r="H39" s="5"/>
    </row>
    <row r="40" spans="1:8" x14ac:dyDescent="0.25">
      <c r="A40" s="5"/>
      <c r="B40" s="5"/>
      <c r="C40" s="5"/>
      <c r="D40" s="5"/>
      <c r="E40" s="5"/>
      <c r="F40" s="5"/>
      <c r="G40" s="5"/>
      <c r="H40" s="5"/>
    </row>
    <row r="41" spans="1:8" x14ac:dyDescent="0.25">
      <c r="A41" s="5"/>
      <c r="B41" s="5"/>
      <c r="C41" s="5"/>
      <c r="D41" s="5"/>
      <c r="E41" s="5"/>
      <c r="F41" s="5"/>
      <c r="G41" s="5"/>
      <c r="H41" s="5"/>
    </row>
    <row r="42" spans="1:8" x14ac:dyDescent="0.25">
      <c r="A42" s="5"/>
      <c r="B42" s="5"/>
      <c r="C42" s="5"/>
      <c r="D42" s="5"/>
      <c r="E42" s="5"/>
      <c r="F42" s="5"/>
      <c r="G42" s="5"/>
      <c r="H42" s="5"/>
    </row>
    <row r="43" spans="1:8" x14ac:dyDescent="0.25">
      <c r="A43" s="5"/>
      <c r="B43" s="5"/>
      <c r="C43" s="5"/>
      <c r="D43" s="5"/>
      <c r="E43" s="5"/>
      <c r="F43" s="5"/>
      <c r="G43" s="5"/>
      <c r="H43" s="5"/>
    </row>
    <row r="44" spans="1:8" x14ac:dyDescent="0.25">
      <c r="A44" s="5"/>
      <c r="B44" s="5"/>
      <c r="C44" s="5"/>
      <c r="D44" s="5"/>
      <c r="E44" s="5"/>
      <c r="F44" s="5"/>
      <c r="G44" s="5"/>
      <c r="H44" s="5"/>
    </row>
    <row r="45" spans="1:8" x14ac:dyDescent="0.25">
      <c r="A45" s="5"/>
      <c r="B45" s="5"/>
      <c r="C45" s="5"/>
      <c r="D45" s="5"/>
      <c r="E45" s="5"/>
      <c r="F45" s="5"/>
      <c r="G45" s="5"/>
      <c r="H45" s="5"/>
    </row>
    <row r="46" spans="1:8" x14ac:dyDescent="0.25">
      <c r="A46" s="5"/>
      <c r="B46" s="5"/>
      <c r="C46" s="5"/>
      <c r="D46" s="5"/>
      <c r="E46" s="5"/>
      <c r="F46" s="5"/>
      <c r="G46" s="5"/>
      <c r="H46" s="5"/>
    </row>
    <row r="47" spans="1:8" x14ac:dyDescent="0.25">
      <c r="A47" s="5"/>
      <c r="B47" s="5"/>
      <c r="C47" s="5"/>
      <c r="D47" s="5"/>
      <c r="E47" s="5"/>
      <c r="F47" s="5"/>
      <c r="G47" s="5"/>
      <c r="H47" s="5"/>
    </row>
    <row r="48" spans="1:8" x14ac:dyDescent="0.25">
      <c r="A48" s="6"/>
      <c r="H48" s="5"/>
    </row>
    <row r="49" spans="1:8" x14ac:dyDescent="0.25">
      <c r="A49" s="6"/>
      <c r="H49" s="5"/>
    </row>
    <row r="50" spans="1:8" x14ac:dyDescent="0.25">
      <c r="A50" s="6"/>
      <c r="H50" s="5"/>
    </row>
    <row r="51" spans="1:8" x14ac:dyDescent="0.25">
      <c r="A51" s="6"/>
    </row>
    <row r="52" spans="1:8" x14ac:dyDescent="0.25">
      <c r="A52" s="6"/>
    </row>
    <row r="53" spans="1:8" x14ac:dyDescent="0.25">
      <c r="A53" s="6"/>
    </row>
    <row r="54" spans="1:8" x14ac:dyDescent="0.25">
      <c r="A54" s="6"/>
    </row>
  </sheetData>
  <mergeCells count="5">
    <mergeCell ref="C6:F6"/>
    <mergeCell ref="C8:F8"/>
    <mergeCell ref="B5:G5"/>
    <mergeCell ref="B7:G7"/>
    <mergeCell ref="I3:W4"/>
  </mergeCells>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9" tint="-0.249977111117893"/>
  </sheetPr>
  <dimension ref="A1:AB61"/>
  <sheetViews>
    <sheetView showGridLines="0" showRowColHeaders="0" tabSelected="1" zoomScaleNormal="100" workbookViewId="0"/>
  </sheetViews>
  <sheetFormatPr defaultColWidth="9.140625" defaultRowHeight="15" x14ac:dyDescent="0.25"/>
  <cols>
    <col min="1" max="1" width="2.5703125" style="1" customWidth="1"/>
    <col min="2" max="7" width="4.85546875" style="1" customWidth="1"/>
    <col min="8" max="8" width="2.5703125" style="1" customWidth="1"/>
    <col min="9" max="9" width="4.28515625" style="1" customWidth="1"/>
    <col min="10" max="10" width="33.5703125" style="1" customWidth="1"/>
    <col min="11" max="15" width="9.140625" style="1" customWidth="1"/>
    <col min="16" max="16" width="11.42578125" style="1" customWidth="1"/>
    <col min="17" max="17" width="5.140625" style="1" customWidth="1"/>
    <col min="18" max="19" width="9.140625" style="1" customWidth="1"/>
    <col min="20" max="20" width="10.28515625" style="1" customWidth="1"/>
    <col min="21" max="21" width="8.28515625" style="1" customWidth="1"/>
    <col min="22" max="16384" width="9.140625" style="1"/>
  </cols>
  <sheetData>
    <row r="1" spans="1:20" ht="12.75" customHeight="1" x14ac:dyDescent="0.25">
      <c r="B1" s="2"/>
      <c r="C1" s="2"/>
      <c r="J1" s="2"/>
      <c r="K1" s="2"/>
      <c r="L1" s="2"/>
      <c r="M1" s="2"/>
      <c r="N1" s="2"/>
      <c r="O1" s="2"/>
      <c r="P1" s="2"/>
      <c r="Q1" s="2"/>
      <c r="R1" s="2"/>
      <c r="S1" s="2"/>
      <c r="T1" s="2"/>
    </row>
    <row r="2" spans="1:20" ht="22.5" customHeight="1" x14ac:dyDescent="0.25">
      <c r="A2" s="6"/>
      <c r="B2" s="4"/>
      <c r="C2" s="4"/>
      <c r="D2" s="4"/>
      <c r="E2" s="24"/>
      <c r="F2" s="4"/>
      <c r="G2" s="4"/>
      <c r="I2" s="8"/>
      <c r="J2" s="4"/>
      <c r="K2" s="4"/>
      <c r="L2" s="4"/>
      <c r="M2" s="4"/>
      <c r="N2" s="4"/>
      <c r="O2" s="4"/>
      <c r="P2" s="4"/>
      <c r="Q2" s="4"/>
      <c r="R2" s="4"/>
      <c r="S2" s="4"/>
      <c r="T2" s="4"/>
    </row>
    <row r="3" spans="1:20" ht="15" customHeight="1" x14ac:dyDescent="0.25">
      <c r="A3" s="6"/>
      <c r="B3" s="4"/>
      <c r="C3" s="4"/>
      <c r="D3" s="4"/>
      <c r="E3" s="4"/>
      <c r="F3" s="4"/>
      <c r="G3" s="4"/>
      <c r="I3" s="111" t="s">
        <v>0</v>
      </c>
      <c r="J3" s="111"/>
      <c r="K3" s="111"/>
      <c r="L3" s="111"/>
      <c r="M3" s="111"/>
      <c r="N3" s="111"/>
      <c r="O3" s="111"/>
      <c r="P3" s="111"/>
      <c r="Q3" s="111"/>
      <c r="R3" s="111"/>
      <c r="S3" s="111"/>
      <c r="T3" s="111"/>
    </row>
    <row r="4" spans="1:20" ht="15" customHeight="1" x14ac:dyDescent="0.25">
      <c r="A4" s="6"/>
      <c r="B4" s="4"/>
      <c r="C4" s="4"/>
      <c r="D4" s="4"/>
      <c r="E4" s="4"/>
      <c r="F4" s="4"/>
      <c r="G4" s="4"/>
      <c r="I4" s="111"/>
      <c r="J4" s="111"/>
      <c r="K4" s="111"/>
      <c r="L4" s="111"/>
      <c r="M4" s="111"/>
      <c r="N4" s="111"/>
      <c r="O4" s="111"/>
      <c r="P4" s="111"/>
      <c r="Q4" s="111"/>
      <c r="R4" s="111"/>
      <c r="S4" s="111"/>
      <c r="T4" s="111"/>
    </row>
    <row r="5" spans="1:20" ht="15" customHeight="1" x14ac:dyDescent="0.25">
      <c r="A5" s="6"/>
      <c r="B5" s="115" t="s">
        <v>59</v>
      </c>
      <c r="C5" s="115"/>
      <c r="D5" s="115"/>
      <c r="E5" s="115"/>
      <c r="F5" s="115"/>
      <c r="G5" s="115"/>
      <c r="I5" s="33"/>
      <c r="J5" s="33"/>
      <c r="K5" s="33"/>
      <c r="L5" s="33"/>
      <c r="M5" s="33"/>
      <c r="N5" s="33"/>
      <c r="O5" s="33"/>
      <c r="P5" s="33"/>
      <c r="Q5" s="33"/>
      <c r="R5" s="33"/>
      <c r="S5" s="33"/>
      <c r="T5" s="33"/>
    </row>
    <row r="6" spans="1:20" ht="15" customHeight="1" x14ac:dyDescent="0.25">
      <c r="A6" s="6"/>
      <c r="B6" s="4"/>
      <c r="C6" s="113">
        <f>internal!tmpl_version</f>
        <v>25</v>
      </c>
      <c r="D6" s="113"/>
      <c r="E6" s="113"/>
      <c r="F6" s="113"/>
      <c r="G6" s="4"/>
      <c r="I6" s="8"/>
      <c r="J6" s="4"/>
      <c r="K6" s="4"/>
      <c r="L6" s="4"/>
      <c r="M6" s="4"/>
      <c r="N6" s="4"/>
      <c r="O6" s="4"/>
      <c r="P6" s="4"/>
      <c r="Q6" s="4"/>
      <c r="R6" s="4"/>
      <c r="S6" s="4"/>
      <c r="T6" s="4"/>
    </row>
    <row r="7" spans="1:20" ht="15" customHeight="1" x14ac:dyDescent="0.25">
      <c r="A7" s="6"/>
      <c r="B7" s="115" t="s">
        <v>60</v>
      </c>
      <c r="C7" s="115"/>
      <c r="D7" s="115"/>
      <c r="E7" s="115"/>
      <c r="F7" s="115"/>
      <c r="G7" s="115"/>
      <c r="I7" s="8"/>
      <c r="J7" s="116" t="s">
        <v>117</v>
      </c>
      <c r="K7" s="8"/>
      <c r="L7" s="8"/>
      <c r="M7" s="8"/>
      <c r="N7" s="8"/>
      <c r="O7" s="8"/>
      <c r="P7" s="8"/>
      <c r="Q7" s="8"/>
      <c r="R7" s="4"/>
      <c r="S7" s="4"/>
      <c r="T7" s="4"/>
    </row>
    <row r="8" spans="1:20" ht="15" customHeight="1" x14ac:dyDescent="0.25">
      <c r="A8" s="6"/>
      <c r="B8" s="25"/>
      <c r="C8" s="114">
        <f>internal!tmpl_date</f>
        <v>43597</v>
      </c>
      <c r="D8" s="114"/>
      <c r="E8" s="114"/>
      <c r="F8" s="114"/>
      <c r="G8" s="4"/>
      <c r="I8" s="8"/>
      <c r="J8" s="116"/>
      <c r="K8" s="8"/>
      <c r="L8" s="8"/>
      <c r="M8" s="8"/>
      <c r="N8" s="8"/>
      <c r="O8" s="8"/>
      <c r="P8" s="8"/>
      <c r="Q8" s="8"/>
      <c r="R8" s="4"/>
      <c r="S8" s="4"/>
      <c r="T8" s="4"/>
    </row>
    <row r="9" spans="1:20" ht="15" customHeight="1" x14ac:dyDescent="0.25">
      <c r="A9" s="6"/>
      <c r="B9" s="25"/>
      <c r="C9" s="26"/>
      <c r="D9" s="4"/>
      <c r="E9" s="4"/>
      <c r="F9" s="26"/>
      <c r="G9" s="4"/>
      <c r="I9" s="8"/>
      <c r="J9" s="27"/>
      <c r="K9" s="8"/>
      <c r="L9" s="8"/>
      <c r="M9" s="8"/>
      <c r="N9" s="8"/>
      <c r="O9" s="8"/>
      <c r="P9" s="8"/>
      <c r="Q9" s="8"/>
      <c r="R9" s="4"/>
      <c r="S9" s="4"/>
      <c r="T9" s="4"/>
    </row>
    <row r="10" spans="1:20" ht="15" customHeight="1" x14ac:dyDescent="0.25">
      <c r="A10" s="5"/>
      <c r="B10" s="5"/>
      <c r="C10" s="5"/>
      <c r="D10" s="5"/>
      <c r="E10" s="5"/>
      <c r="F10" s="5"/>
      <c r="G10" s="5"/>
      <c r="H10" s="5"/>
      <c r="I10" s="31"/>
      <c r="J10" s="27"/>
      <c r="K10" s="8"/>
      <c r="L10" s="8"/>
      <c r="M10" s="8"/>
      <c r="N10" s="8"/>
      <c r="O10" s="8"/>
      <c r="P10" s="8"/>
      <c r="Q10" s="8"/>
      <c r="R10" s="4"/>
      <c r="S10" s="4"/>
      <c r="T10" s="4"/>
    </row>
    <row r="11" spans="1:20" ht="15" customHeight="1" x14ac:dyDescent="0.25">
      <c r="A11" s="5"/>
      <c r="B11" s="5"/>
      <c r="C11" s="5"/>
      <c r="D11" s="5"/>
      <c r="E11" s="5"/>
      <c r="F11" s="5"/>
      <c r="G11" s="5"/>
      <c r="H11" s="5"/>
      <c r="I11" s="31"/>
      <c r="J11" s="27"/>
      <c r="K11" s="8"/>
      <c r="L11" s="8"/>
      <c r="M11" s="8"/>
      <c r="N11" s="8"/>
      <c r="O11" s="8"/>
      <c r="P11" s="8"/>
      <c r="Q11" s="8"/>
      <c r="R11" s="4"/>
      <c r="S11" s="4"/>
      <c r="T11" s="4"/>
    </row>
    <row r="12" spans="1:20" ht="15" customHeight="1" x14ac:dyDescent="0.25">
      <c r="A12" s="5"/>
      <c r="B12" s="5"/>
      <c r="C12" s="5"/>
      <c r="D12" s="5"/>
      <c r="E12" s="5"/>
      <c r="F12" s="5"/>
      <c r="G12" s="5"/>
      <c r="H12" s="5"/>
      <c r="I12" s="31"/>
      <c r="J12" s="27"/>
      <c r="K12" s="8"/>
      <c r="L12" s="8"/>
      <c r="M12" s="8"/>
      <c r="N12" s="8"/>
      <c r="O12" s="8"/>
      <c r="P12" s="8"/>
      <c r="Q12" s="8"/>
      <c r="R12" s="4"/>
      <c r="S12" s="4"/>
      <c r="T12" s="4"/>
    </row>
    <row r="13" spans="1:20" ht="15" customHeight="1" x14ac:dyDescent="0.25">
      <c r="A13" s="5"/>
      <c r="B13" s="5"/>
      <c r="C13" s="5"/>
      <c r="D13" s="5"/>
      <c r="E13" s="5"/>
      <c r="F13" s="5"/>
      <c r="G13" s="5"/>
      <c r="H13" s="5"/>
      <c r="I13" s="31"/>
      <c r="J13" s="27"/>
      <c r="K13" s="8"/>
      <c r="L13" s="8"/>
      <c r="M13" s="8"/>
      <c r="N13" s="8"/>
      <c r="O13" s="8"/>
      <c r="P13" s="8"/>
      <c r="Q13" s="8"/>
      <c r="R13" s="4"/>
      <c r="S13" s="4"/>
      <c r="T13" s="4"/>
    </row>
    <row r="14" spans="1:20" ht="15" customHeight="1" x14ac:dyDescent="0.25">
      <c r="A14" s="5"/>
      <c r="B14" s="5"/>
      <c r="C14" s="5"/>
      <c r="D14" s="5"/>
      <c r="E14" s="5"/>
      <c r="F14" s="5"/>
      <c r="G14" s="5"/>
      <c r="H14" s="5"/>
      <c r="I14" s="31"/>
      <c r="J14" s="27"/>
      <c r="K14" s="8"/>
      <c r="L14" s="8"/>
      <c r="M14" s="8"/>
      <c r="N14" s="8"/>
      <c r="O14" s="8"/>
      <c r="P14" s="8"/>
      <c r="Q14" s="8"/>
      <c r="R14" s="4"/>
      <c r="S14" s="4"/>
      <c r="T14" s="4"/>
    </row>
    <row r="15" spans="1:20" ht="15" customHeight="1" x14ac:dyDescent="0.25">
      <c r="A15" s="5"/>
      <c r="B15" s="5"/>
      <c r="C15" s="5"/>
      <c r="D15" s="5"/>
      <c r="E15" s="5"/>
      <c r="F15" s="5"/>
      <c r="G15" s="5"/>
      <c r="H15" s="5"/>
      <c r="I15" s="31"/>
      <c r="J15" s="27"/>
      <c r="K15" s="4"/>
      <c r="L15" s="4"/>
      <c r="M15" s="4"/>
      <c r="N15" s="4"/>
      <c r="O15" s="4"/>
      <c r="P15" s="4"/>
      <c r="Q15" s="4"/>
      <c r="R15" s="4"/>
      <c r="S15" s="4"/>
      <c r="T15" s="4"/>
    </row>
    <row r="16" spans="1:20" ht="15" customHeight="1" x14ac:dyDescent="0.25">
      <c r="A16" s="5"/>
      <c r="B16" s="5"/>
      <c r="C16" s="5"/>
      <c r="D16" s="5"/>
      <c r="E16" s="5"/>
      <c r="F16" s="5"/>
      <c r="G16" s="5"/>
      <c r="H16" s="5"/>
      <c r="I16" s="31"/>
      <c r="J16" s="116" t="s">
        <v>3</v>
      </c>
      <c r="K16" s="119" t="s">
        <v>135</v>
      </c>
      <c r="L16" s="119"/>
      <c r="M16" s="119"/>
      <c r="N16" s="119"/>
      <c r="O16" s="119"/>
      <c r="P16" s="119"/>
      <c r="Q16" s="4"/>
      <c r="R16" s="116" t="s">
        <v>4</v>
      </c>
      <c r="S16" s="117">
        <f>IF(LEN(ria_officialtask_enddate)&gt;0,YEAR(ria_officialtask_enddate),"")</f>
        <v>2019</v>
      </c>
      <c r="T16" s="4"/>
    </row>
    <row r="17" spans="1:20" ht="15" customHeight="1" x14ac:dyDescent="0.25">
      <c r="A17" s="5"/>
      <c r="B17" s="5"/>
      <c r="C17" s="5"/>
      <c r="D17" s="5"/>
      <c r="E17" s="5"/>
      <c r="F17" s="5"/>
      <c r="G17" s="5"/>
      <c r="H17" s="5"/>
      <c r="I17" s="31"/>
      <c r="J17" s="116"/>
      <c r="K17" s="119"/>
      <c r="L17" s="119"/>
      <c r="M17" s="119"/>
      <c r="N17" s="119"/>
      <c r="O17" s="119"/>
      <c r="P17" s="119"/>
      <c r="Q17" s="4"/>
      <c r="R17" s="116"/>
      <c r="S17" s="117"/>
      <c r="T17" s="4"/>
    </row>
    <row r="18" spans="1:20" ht="15" customHeight="1" x14ac:dyDescent="0.25">
      <c r="A18" s="5"/>
      <c r="B18" s="5"/>
      <c r="C18" s="5"/>
      <c r="D18" s="5"/>
      <c r="E18" s="5"/>
      <c r="F18" s="5"/>
      <c r="G18" s="5"/>
      <c r="H18" s="5"/>
      <c r="I18" s="31"/>
      <c r="J18" s="27"/>
      <c r="K18" s="4"/>
      <c r="L18" s="4"/>
      <c r="M18" s="4"/>
      <c r="N18" s="4"/>
      <c r="O18" s="4"/>
      <c r="P18" s="4"/>
      <c r="Q18" s="4"/>
      <c r="R18" s="4"/>
      <c r="S18" s="4"/>
      <c r="T18" s="4"/>
    </row>
    <row r="19" spans="1:20" ht="15" customHeight="1" x14ac:dyDescent="0.25">
      <c r="A19" s="5"/>
      <c r="B19" s="5"/>
      <c r="C19" s="5"/>
      <c r="D19" s="5"/>
      <c r="E19" s="5"/>
      <c r="F19" s="5"/>
      <c r="G19" s="5"/>
      <c r="H19" s="5"/>
      <c r="I19" s="31"/>
      <c r="J19" s="27"/>
      <c r="K19" s="4"/>
      <c r="L19" s="4"/>
      <c r="M19" s="4"/>
      <c r="N19" s="4"/>
      <c r="O19" s="4"/>
      <c r="P19" s="4"/>
      <c r="Q19" s="4"/>
      <c r="R19" s="4"/>
      <c r="S19" s="4"/>
      <c r="T19" s="4"/>
    </row>
    <row r="20" spans="1:20" ht="15" customHeight="1" x14ac:dyDescent="0.25">
      <c r="A20" s="5"/>
      <c r="B20" s="5"/>
      <c r="C20" s="5"/>
      <c r="D20" s="5"/>
      <c r="E20" s="5"/>
      <c r="F20" s="5"/>
      <c r="G20" s="5"/>
      <c r="H20" s="5"/>
      <c r="I20" s="31"/>
      <c r="J20" s="120" t="s">
        <v>5</v>
      </c>
      <c r="K20" s="118" t="s">
        <v>6</v>
      </c>
      <c r="L20" s="118"/>
      <c r="M20" s="118"/>
      <c r="N20" s="118"/>
      <c r="O20" s="118"/>
      <c r="P20" s="118"/>
      <c r="Q20" s="4"/>
      <c r="R20" s="4"/>
      <c r="S20" s="4"/>
      <c r="T20" s="4"/>
    </row>
    <row r="21" spans="1:20" ht="15" customHeight="1" x14ac:dyDescent="0.25">
      <c r="A21" s="5"/>
      <c r="B21" s="5"/>
      <c r="C21" s="5"/>
      <c r="D21" s="5"/>
      <c r="E21" s="5"/>
      <c r="F21" s="5"/>
      <c r="G21" s="5"/>
      <c r="H21" s="5"/>
      <c r="I21" s="31"/>
      <c r="J21" s="120"/>
      <c r="K21" s="118"/>
      <c r="L21" s="118"/>
      <c r="M21" s="118"/>
      <c r="N21" s="118"/>
      <c r="O21" s="118"/>
      <c r="P21" s="118"/>
      <c r="Q21" s="4"/>
      <c r="R21" s="4"/>
      <c r="S21" s="4"/>
      <c r="T21" s="4"/>
    </row>
    <row r="22" spans="1:20" ht="15" customHeight="1" x14ac:dyDescent="0.25">
      <c r="A22" s="5"/>
      <c r="B22" s="5"/>
      <c r="C22" s="5"/>
      <c r="D22" s="5"/>
      <c r="E22" s="5"/>
      <c r="F22" s="5"/>
      <c r="G22" s="5"/>
      <c r="H22" s="5"/>
      <c r="I22" s="31"/>
      <c r="J22" s="28"/>
      <c r="K22" s="118"/>
      <c r="L22" s="118"/>
      <c r="M22" s="118"/>
      <c r="N22" s="118"/>
      <c r="O22" s="118"/>
      <c r="P22" s="118"/>
      <c r="Q22" s="4"/>
      <c r="R22" s="4"/>
      <c r="S22" s="4"/>
      <c r="T22" s="4"/>
    </row>
    <row r="23" spans="1:20" ht="15" customHeight="1" x14ac:dyDescent="0.25">
      <c r="A23" s="5"/>
      <c r="B23" s="5"/>
      <c r="C23" s="5"/>
      <c r="D23" s="5"/>
      <c r="E23" s="5"/>
      <c r="F23" s="5"/>
      <c r="G23" s="5"/>
      <c r="H23" s="5"/>
      <c r="I23" s="31"/>
      <c r="J23" s="28"/>
      <c r="K23" s="118"/>
      <c r="L23" s="118"/>
      <c r="M23" s="118"/>
      <c r="N23" s="118"/>
      <c r="O23" s="118"/>
      <c r="P23" s="118"/>
      <c r="Q23" s="4"/>
      <c r="R23" s="4"/>
      <c r="S23" s="4"/>
      <c r="T23" s="4"/>
    </row>
    <row r="24" spans="1:20" ht="15" customHeight="1" x14ac:dyDescent="0.25">
      <c r="A24" s="5"/>
      <c r="B24" s="5"/>
      <c r="C24" s="5"/>
      <c r="D24" s="5"/>
      <c r="E24" s="5"/>
      <c r="F24" s="5"/>
      <c r="G24" s="5"/>
      <c r="H24" s="5"/>
      <c r="I24" s="31"/>
      <c r="J24" s="28"/>
      <c r="K24" s="118"/>
      <c r="L24" s="118"/>
      <c r="M24" s="118"/>
      <c r="N24" s="118"/>
      <c r="O24" s="118"/>
      <c r="P24" s="118"/>
      <c r="Q24" s="4"/>
      <c r="R24" s="4"/>
      <c r="S24" s="4"/>
      <c r="T24" s="4"/>
    </row>
    <row r="25" spans="1:20" ht="15" customHeight="1" x14ac:dyDescent="0.25">
      <c r="A25" s="5"/>
      <c r="B25" s="5"/>
      <c r="C25" s="5"/>
      <c r="D25" s="5"/>
      <c r="E25" s="5"/>
      <c r="F25" s="5"/>
      <c r="G25" s="5"/>
      <c r="H25" s="5"/>
      <c r="I25" s="31"/>
      <c r="J25" s="28"/>
      <c r="K25" s="118"/>
      <c r="L25" s="118"/>
      <c r="M25" s="118"/>
      <c r="N25" s="118"/>
      <c r="O25" s="118"/>
      <c r="P25" s="118"/>
      <c r="Q25" s="4"/>
      <c r="R25" s="4"/>
      <c r="S25" s="4"/>
      <c r="T25" s="4"/>
    </row>
    <row r="26" spans="1:20" ht="15" customHeight="1" x14ac:dyDescent="0.25">
      <c r="A26" s="5"/>
      <c r="B26" s="5"/>
      <c r="C26" s="5"/>
      <c r="D26" s="5"/>
      <c r="E26" s="5"/>
      <c r="F26" s="5"/>
      <c r="G26" s="5"/>
      <c r="H26" s="5"/>
      <c r="I26" s="31"/>
      <c r="J26" s="28"/>
      <c r="K26" s="118"/>
      <c r="L26" s="118"/>
      <c r="M26" s="118"/>
      <c r="N26" s="118"/>
      <c r="O26" s="118"/>
      <c r="P26" s="118"/>
      <c r="Q26" s="4"/>
      <c r="R26" s="4"/>
      <c r="S26" s="4"/>
      <c r="T26" s="4"/>
    </row>
    <row r="27" spans="1:20" ht="15" customHeight="1" x14ac:dyDescent="0.25">
      <c r="A27" s="5"/>
      <c r="B27" s="5"/>
      <c r="C27" s="5"/>
      <c r="D27" s="5"/>
      <c r="E27" s="5"/>
      <c r="F27" s="5"/>
      <c r="G27" s="5"/>
      <c r="H27" s="5"/>
      <c r="I27" s="31"/>
      <c r="J27" s="28"/>
      <c r="K27" s="118"/>
      <c r="L27" s="118"/>
      <c r="M27" s="118"/>
      <c r="N27" s="118"/>
      <c r="O27" s="118"/>
      <c r="P27" s="118"/>
      <c r="Q27" s="4"/>
      <c r="R27" s="4"/>
      <c r="S27" s="4"/>
      <c r="T27" s="4"/>
    </row>
    <row r="28" spans="1:20" ht="15" customHeight="1" x14ac:dyDescent="0.25">
      <c r="A28" s="5"/>
      <c r="B28" s="5"/>
      <c r="C28" s="5"/>
      <c r="D28" s="5"/>
      <c r="E28" s="5"/>
      <c r="F28" s="5"/>
      <c r="G28" s="5"/>
      <c r="I28" s="8"/>
      <c r="J28" s="28"/>
      <c r="K28" s="118"/>
      <c r="L28" s="118"/>
      <c r="M28" s="118"/>
      <c r="N28" s="118"/>
      <c r="O28" s="118"/>
      <c r="P28" s="118"/>
      <c r="Q28" s="4"/>
      <c r="R28" s="4"/>
      <c r="S28" s="4"/>
      <c r="T28" s="4"/>
    </row>
    <row r="29" spans="1:20" ht="15" customHeight="1" x14ac:dyDescent="0.25">
      <c r="A29" s="5"/>
      <c r="B29" s="5"/>
      <c r="C29" s="5"/>
      <c r="D29" s="5"/>
      <c r="E29" s="5"/>
      <c r="F29" s="5"/>
      <c r="G29" s="5"/>
      <c r="I29" s="8"/>
      <c r="J29" s="28"/>
      <c r="K29" s="118"/>
      <c r="L29" s="118"/>
      <c r="M29" s="118"/>
      <c r="N29" s="118"/>
      <c r="O29" s="118"/>
      <c r="P29" s="118"/>
      <c r="Q29" s="4"/>
      <c r="R29" s="4"/>
      <c r="S29" s="4"/>
      <c r="T29" s="4"/>
    </row>
    <row r="30" spans="1:20" ht="15" customHeight="1" x14ac:dyDescent="0.25">
      <c r="A30" s="5"/>
      <c r="B30" s="5"/>
      <c r="C30" s="5"/>
      <c r="D30" s="5"/>
      <c r="E30" s="5"/>
      <c r="F30" s="5"/>
      <c r="G30" s="5"/>
      <c r="I30" s="8"/>
      <c r="J30" s="28"/>
      <c r="K30" s="118"/>
      <c r="L30" s="118"/>
      <c r="M30" s="118"/>
      <c r="N30" s="118"/>
      <c r="O30" s="118"/>
      <c r="P30" s="118"/>
      <c r="Q30" s="4"/>
      <c r="R30" s="4"/>
      <c r="S30" s="4"/>
      <c r="T30" s="4"/>
    </row>
    <row r="31" spans="1:20" ht="15.75" customHeight="1" x14ac:dyDescent="0.25">
      <c r="A31" s="5"/>
      <c r="B31" s="5"/>
      <c r="C31" s="5"/>
      <c r="D31" s="5"/>
      <c r="E31" s="5"/>
      <c r="F31" s="5"/>
      <c r="G31" s="5"/>
      <c r="I31" s="8"/>
      <c r="J31" s="28"/>
      <c r="K31" s="118"/>
      <c r="L31" s="118"/>
      <c r="M31" s="118"/>
      <c r="N31" s="118"/>
      <c r="O31" s="118"/>
      <c r="P31" s="118"/>
      <c r="Q31" s="4"/>
      <c r="R31" s="4"/>
      <c r="S31" s="4"/>
      <c r="T31" s="4"/>
    </row>
    <row r="32" spans="1:20" ht="15" customHeight="1" x14ac:dyDescent="0.25">
      <c r="A32" s="5"/>
      <c r="B32" s="5"/>
      <c r="C32" s="5"/>
      <c r="D32" s="5"/>
      <c r="E32" s="5"/>
      <c r="F32" s="5"/>
      <c r="G32" s="5"/>
      <c r="I32" s="8"/>
      <c r="J32" s="28"/>
      <c r="K32" s="118"/>
      <c r="L32" s="118"/>
      <c r="M32" s="118"/>
      <c r="N32" s="118"/>
      <c r="O32" s="118"/>
      <c r="P32" s="118"/>
      <c r="Q32" s="4"/>
      <c r="R32" s="4"/>
      <c r="S32" s="4"/>
      <c r="T32" s="4"/>
    </row>
    <row r="33" spans="1:28" ht="15.75" customHeight="1" x14ac:dyDescent="0.25">
      <c r="A33" s="5"/>
      <c r="B33" s="5"/>
      <c r="C33" s="5"/>
      <c r="D33" s="5"/>
      <c r="E33" s="5"/>
      <c r="F33" s="5"/>
      <c r="G33" s="5"/>
      <c r="I33" s="8"/>
      <c r="J33" s="28"/>
      <c r="K33" s="118"/>
      <c r="L33" s="118"/>
      <c r="M33" s="118"/>
      <c r="N33" s="118"/>
      <c r="O33" s="118"/>
      <c r="P33" s="118"/>
      <c r="Q33" s="4"/>
      <c r="R33" s="4"/>
      <c r="S33" s="4"/>
      <c r="T33" s="4"/>
    </row>
    <row r="34" spans="1:28" ht="15" customHeight="1" x14ac:dyDescent="0.25">
      <c r="A34" s="5"/>
      <c r="B34" s="5"/>
      <c r="C34" s="5"/>
      <c r="D34" s="5"/>
      <c r="E34" s="5"/>
      <c r="F34" s="5"/>
      <c r="G34" s="5"/>
      <c r="I34" s="8"/>
      <c r="J34" s="28"/>
      <c r="K34" s="118"/>
      <c r="L34" s="118"/>
      <c r="M34" s="118"/>
      <c r="N34" s="118"/>
      <c r="O34" s="118"/>
      <c r="P34" s="118"/>
      <c r="Q34" s="4"/>
      <c r="R34" s="4"/>
      <c r="S34" s="4"/>
      <c r="T34" s="4"/>
    </row>
    <row r="35" spans="1:28" ht="15.75" customHeight="1" x14ac:dyDescent="0.25">
      <c r="A35" s="5"/>
      <c r="B35" s="5"/>
      <c r="C35" s="5"/>
      <c r="D35" s="5"/>
      <c r="E35" s="5"/>
      <c r="F35" s="5"/>
      <c r="G35" s="5"/>
      <c r="I35" s="8"/>
      <c r="J35" s="28"/>
      <c r="K35" s="118"/>
      <c r="L35" s="118"/>
      <c r="M35" s="118"/>
      <c r="N35" s="118"/>
      <c r="O35" s="118"/>
      <c r="P35" s="118"/>
      <c r="Q35" s="4"/>
      <c r="R35" s="4"/>
      <c r="S35" s="4"/>
      <c r="T35" s="4"/>
    </row>
    <row r="36" spans="1:28" ht="15" customHeight="1" x14ac:dyDescent="0.25">
      <c r="A36" s="5"/>
      <c r="B36" s="5"/>
      <c r="C36" s="5"/>
      <c r="D36" s="5"/>
      <c r="E36" s="5"/>
      <c r="F36" s="5"/>
      <c r="G36" s="5"/>
      <c r="I36" s="8"/>
      <c r="J36" s="28"/>
      <c r="K36" s="118"/>
      <c r="L36" s="118"/>
      <c r="M36" s="118"/>
      <c r="N36" s="118"/>
      <c r="O36" s="118"/>
      <c r="P36" s="118"/>
      <c r="Q36" s="4"/>
      <c r="R36" s="4"/>
      <c r="S36" s="4"/>
      <c r="T36" s="4"/>
    </row>
    <row r="37" spans="1:28" ht="15.75" customHeight="1" x14ac:dyDescent="0.25">
      <c r="A37" s="5"/>
      <c r="B37" s="5"/>
      <c r="C37" s="5"/>
      <c r="D37" s="5"/>
      <c r="E37" s="5"/>
      <c r="F37" s="5"/>
      <c r="G37" s="5"/>
      <c r="I37" s="8"/>
      <c r="J37" s="28"/>
      <c r="K37" s="118"/>
      <c r="L37" s="118"/>
      <c r="M37" s="118"/>
      <c r="N37" s="118"/>
      <c r="O37" s="118"/>
      <c r="P37" s="118"/>
      <c r="Q37" s="4"/>
      <c r="R37" s="4"/>
      <c r="S37" s="4"/>
      <c r="T37" s="4"/>
    </row>
    <row r="38" spans="1:28" ht="15" customHeight="1" x14ac:dyDescent="0.25">
      <c r="A38" s="5"/>
      <c r="B38" s="5"/>
      <c r="C38" s="5"/>
      <c r="D38" s="5"/>
      <c r="E38" s="5"/>
      <c r="F38" s="5"/>
      <c r="G38" s="5"/>
      <c r="I38" s="8"/>
      <c r="J38" s="28"/>
      <c r="K38" s="4"/>
      <c r="L38" s="4"/>
      <c r="M38" s="4"/>
      <c r="N38" s="4"/>
      <c r="O38" s="4"/>
      <c r="P38" s="4"/>
      <c r="Q38" s="4"/>
      <c r="R38" s="4"/>
      <c r="S38" s="4"/>
      <c r="T38" s="4"/>
    </row>
    <row r="39" spans="1:28" ht="15.75" customHeight="1" x14ac:dyDescent="0.25">
      <c r="A39" s="5"/>
      <c r="B39" s="5"/>
      <c r="C39" s="5"/>
      <c r="D39" s="5"/>
      <c r="E39" s="5"/>
      <c r="F39" s="5"/>
      <c r="G39" s="5"/>
      <c r="I39" s="8"/>
      <c r="J39" s="28"/>
      <c r="K39" s="4"/>
      <c r="L39" s="4"/>
      <c r="M39" s="4"/>
      <c r="N39" s="4"/>
      <c r="O39" s="4"/>
      <c r="P39" s="4"/>
      <c r="Q39" s="4"/>
      <c r="R39" s="4"/>
      <c r="S39" s="4"/>
      <c r="T39" s="4"/>
    </row>
    <row r="40" spans="1:28" ht="15" customHeight="1" x14ac:dyDescent="0.25">
      <c r="A40" s="5"/>
      <c r="B40" s="5"/>
      <c r="C40" s="5"/>
      <c r="D40" s="5"/>
      <c r="E40" s="5"/>
      <c r="F40" s="5"/>
      <c r="G40" s="5"/>
      <c r="I40" s="8"/>
      <c r="J40" s="116" t="s">
        <v>7</v>
      </c>
      <c r="K40" s="118" t="s">
        <v>13</v>
      </c>
      <c r="L40" s="118"/>
      <c r="M40" s="118"/>
      <c r="N40" s="118"/>
      <c r="O40" s="118"/>
      <c r="P40" s="118"/>
      <c r="Q40" s="4"/>
      <c r="R40" s="4"/>
      <c r="S40" s="4"/>
      <c r="T40" s="4"/>
    </row>
    <row r="41" spans="1:28" ht="15" customHeight="1" x14ac:dyDescent="0.25">
      <c r="A41" s="5"/>
      <c r="B41" s="5"/>
      <c r="C41" s="5"/>
      <c r="D41" s="5"/>
      <c r="E41" s="5"/>
      <c r="F41" s="5"/>
      <c r="G41" s="5"/>
      <c r="I41" s="8"/>
      <c r="J41" s="116"/>
      <c r="K41" s="118"/>
      <c r="L41" s="118"/>
      <c r="M41" s="118"/>
      <c r="N41" s="118"/>
      <c r="O41" s="118"/>
      <c r="P41" s="118"/>
      <c r="Q41" s="4"/>
      <c r="R41" s="4"/>
      <c r="S41" s="4"/>
      <c r="T41" s="4"/>
    </row>
    <row r="42" spans="1:28" x14ac:dyDescent="0.25">
      <c r="A42" s="5"/>
      <c r="B42" s="5"/>
      <c r="C42" s="5"/>
      <c r="D42" s="5"/>
      <c r="E42" s="5"/>
      <c r="F42" s="5"/>
      <c r="G42" s="5"/>
      <c r="I42" s="8"/>
      <c r="J42" s="28"/>
      <c r="K42" s="118"/>
      <c r="L42" s="118"/>
      <c r="M42" s="118"/>
      <c r="N42" s="118"/>
      <c r="O42" s="118"/>
      <c r="P42" s="118"/>
      <c r="Q42" s="4"/>
      <c r="R42" s="4"/>
      <c r="S42" s="4"/>
      <c r="T42" s="4"/>
    </row>
    <row r="43" spans="1:28" x14ac:dyDescent="0.25">
      <c r="A43" s="5"/>
      <c r="B43" s="5"/>
      <c r="C43" s="5"/>
      <c r="D43" s="5"/>
      <c r="E43" s="5"/>
      <c r="F43" s="5"/>
      <c r="G43" s="5"/>
      <c r="I43" s="8"/>
      <c r="J43" s="28"/>
      <c r="K43" s="118"/>
      <c r="L43" s="118"/>
      <c r="M43" s="118"/>
      <c r="N43" s="118"/>
      <c r="O43" s="118"/>
      <c r="P43" s="118"/>
      <c r="Q43" s="4"/>
      <c r="R43" s="4"/>
      <c r="S43" s="4"/>
      <c r="T43" s="4"/>
    </row>
    <row r="44" spans="1:28" x14ac:dyDescent="0.25">
      <c r="A44" s="5"/>
      <c r="B44" s="5"/>
      <c r="C44" s="5"/>
      <c r="D44" s="5"/>
      <c r="E44" s="5"/>
      <c r="F44" s="5"/>
      <c r="G44" s="5"/>
      <c r="I44" s="8"/>
      <c r="J44" s="28"/>
      <c r="K44" s="118"/>
      <c r="L44" s="118"/>
      <c r="M44" s="118"/>
      <c r="N44" s="118"/>
      <c r="O44" s="118"/>
      <c r="P44" s="118"/>
      <c r="Q44" s="4"/>
      <c r="R44" s="4"/>
      <c r="S44" s="4"/>
      <c r="T44" s="4"/>
    </row>
    <row r="45" spans="1:28" x14ac:dyDescent="0.25">
      <c r="A45" s="5"/>
      <c r="B45" s="5"/>
      <c r="C45" s="5"/>
      <c r="D45" s="5"/>
      <c r="E45" s="5"/>
      <c r="F45" s="5"/>
      <c r="G45" s="5"/>
      <c r="I45" s="8"/>
      <c r="J45" s="28"/>
      <c r="K45" s="118"/>
      <c r="L45" s="118"/>
      <c r="M45" s="118"/>
      <c r="N45" s="118"/>
      <c r="O45" s="118"/>
      <c r="P45" s="118"/>
      <c r="Q45" s="4"/>
      <c r="R45" s="4"/>
      <c r="S45" s="4"/>
      <c r="T45" s="4"/>
    </row>
    <row r="46" spans="1:28" x14ac:dyDescent="0.25">
      <c r="A46" s="5"/>
      <c r="B46" s="5"/>
      <c r="C46" s="5"/>
      <c r="D46" s="5"/>
      <c r="E46" s="5"/>
      <c r="F46" s="5"/>
      <c r="G46" s="5"/>
      <c r="I46" s="8"/>
      <c r="J46" s="28"/>
      <c r="K46" s="4"/>
      <c r="L46" s="4"/>
      <c r="M46" s="4"/>
      <c r="N46" s="4"/>
      <c r="O46" s="4"/>
      <c r="P46" s="4"/>
      <c r="Q46" s="4"/>
      <c r="R46" s="4"/>
      <c r="S46" s="4"/>
      <c r="T46" s="4"/>
    </row>
    <row r="47" spans="1:28" x14ac:dyDescent="0.25">
      <c r="A47" s="5"/>
      <c r="B47" s="5"/>
      <c r="C47" s="5"/>
      <c r="D47" s="5"/>
      <c r="E47" s="5"/>
      <c r="F47" s="5"/>
      <c r="G47" s="5"/>
      <c r="I47" s="8"/>
      <c r="J47" s="28"/>
      <c r="K47" s="4"/>
      <c r="L47" s="4"/>
      <c r="M47" s="4"/>
      <c r="N47" s="4"/>
      <c r="O47" s="4"/>
      <c r="P47" s="4"/>
      <c r="Q47" s="4"/>
      <c r="R47" s="4"/>
      <c r="S47" s="4"/>
      <c r="T47" s="4"/>
      <c r="AB47" s="29"/>
    </row>
    <row r="48" spans="1:28" ht="15" customHeight="1" x14ac:dyDescent="0.25">
      <c r="A48" s="6"/>
      <c r="I48" s="8"/>
      <c r="J48" s="116" t="s">
        <v>8</v>
      </c>
      <c r="K48" s="121" t="s">
        <v>11</v>
      </c>
      <c r="L48" s="121"/>
      <c r="M48" s="121"/>
      <c r="N48" s="121"/>
      <c r="O48" s="121"/>
      <c r="P48" s="121"/>
      <c r="Q48" s="4"/>
      <c r="R48" s="4"/>
      <c r="S48" s="4"/>
      <c r="T48" s="4"/>
    </row>
    <row r="49" spans="1:20" ht="15" customHeight="1" x14ac:dyDescent="0.25">
      <c r="A49" s="6"/>
      <c r="I49" s="8"/>
      <c r="J49" s="116"/>
      <c r="K49" s="121"/>
      <c r="L49" s="121"/>
      <c r="M49" s="121"/>
      <c r="N49" s="121"/>
      <c r="O49" s="121"/>
      <c r="P49" s="121"/>
      <c r="Q49" s="4"/>
      <c r="R49" s="4"/>
      <c r="S49" s="4"/>
      <c r="T49" s="4"/>
    </row>
    <row r="50" spans="1:20" x14ac:dyDescent="0.25">
      <c r="A50" s="6"/>
      <c r="I50" s="8"/>
      <c r="J50" s="28"/>
      <c r="K50" s="4"/>
      <c r="L50" s="4"/>
      <c r="M50" s="4"/>
      <c r="N50" s="4"/>
      <c r="O50" s="4"/>
      <c r="P50" s="4"/>
      <c r="Q50" s="4"/>
      <c r="R50" s="4"/>
      <c r="S50" s="4"/>
      <c r="T50" s="4"/>
    </row>
    <row r="51" spans="1:20" x14ac:dyDescent="0.25">
      <c r="A51" s="6"/>
      <c r="I51" s="8"/>
      <c r="J51" s="116" t="s">
        <v>9</v>
      </c>
      <c r="K51" s="122" t="s">
        <v>129</v>
      </c>
      <c r="L51" s="122"/>
      <c r="M51" s="122"/>
      <c r="N51" s="122"/>
      <c r="O51" s="122"/>
      <c r="P51" s="122"/>
      <c r="Q51" s="4"/>
      <c r="R51" s="4"/>
      <c r="S51" s="4"/>
      <c r="T51" s="4"/>
    </row>
    <row r="52" spans="1:20" ht="15" customHeight="1" x14ac:dyDescent="0.25">
      <c r="A52" s="6"/>
      <c r="I52" s="8"/>
      <c r="J52" s="116"/>
      <c r="K52" s="122"/>
      <c r="L52" s="122"/>
      <c r="M52" s="122"/>
      <c r="N52" s="122"/>
      <c r="O52" s="122"/>
      <c r="P52" s="122"/>
      <c r="Q52" s="4"/>
      <c r="R52" s="4"/>
      <c r="S52" s="4"/>
      <c r="T52" s="4"/>
    </row>
    <row r="53" spans="1:20" ht="15.75" customHeight="1" x14ac:dyDescent="0.25">
      <c r="A53" s="6"/>
      <c r="I53" s="8"/>
      <c r="J53" s="28"/>
      <c r="K53" s="4"/>
      <c r="L53" s="4"/>
      <c r="M53" s="4"/>
      <c r="N53" s="4"/>
      <c r="O53" s="4"/>
      <c r="P53" s="4"/>
      <c r="Q53" s="4"/>
      <c r="R53" s="4"/>
      <c r="S53" s="4"/>
      <c r="T53" s="4"/>
    </row>
    <row r="54" spans="1:20" x14ac:dyDescent="0.25">
      <c r="A54" s="6"/>
      <c r="I54" s="8"/>
      <c r="J54" s="116" t="s">
        <v>10</v>
      </c>
      <c r="K54" s="121" t="s">
        <v>12</v>
      </c>
      <c r="L54" s="121"/>
      <c r="M54" s="4"/>
      <c r="N54" s="4"/>
      <c r="O54" s="4"/>
      <c r="P54" s="4"/>
      <c r="Q54" s="4"/>
      <c r="R54" s="4"/>
      <c r="S54" s="4"/>
      <c r="T54" s="4"/>
    </row>
    <row r="55" spans="1:20" ht="15" customHeight="1" x14ac:dyDescent="0.25">
      <c r="I55" s="8"/>
      <c r="J55" s="116"/>
      <c r="K55" s="121"/>
      <c r="L55" s="121"/>
      <c r="M55" s="4"/>
      <c r="N55" s="4"/>
      <c r="O55" s="4"/>
      <c r="P55" s="4"/>
      <c r="Q55" s="4"/>
      <c r="R55" s="4"/>
      <c r="S55" s="4"/>
      <c r="T55" s="4"/>
    </row>
    <row r="56" spans="1:20" ht="15" customHeight="1" x14ac:dyDescent="0.25">
      <c r="I56" s="8"/>
      <c r="J56" s="4"/>
      <c r="K56" s="4"/>
      <c r="L56" s="4"/>
      <c r="M56" s="4"/>
      <c r="N56" s="4"/>
      <c r="O56" s="4"/>
      <c r="P56" s="4"/>
      <c r="Q56" s="4"/>
      <c r="R56" s="4"/>
      <c r="S56" s="4"/>
      <c r="T56" s="4"/>
    </row>
    <row r="57" spans="1:20" x14ac:dyDescent="0.25">
      <c r="I57" s="8"/>
      <c r="J57" s="4"/>
      <c r="K57" s="4"/>
      <c r="L57" s="4"/>
      <c r="M57" s="4"/>
      <c r="N57" s="4"/>
      <c r="O57" s="4"/>
      <c r="P57" s="4"/>
      <c r="Q57" s="4"/>
      <c r="R57" s="4"/>
      <c r="S57" s="4"/>
      <c r="T57" s="4"/>
    </row>
    <row r="58" spans="1:20" ht="15" customHeight="1" x14ac:dyDescent="0.25"/>
    <row r="59" spans="1:20" ht="15.75" customHeight="1" x14ac:dyDescent="0.25"/>
    <row r="61" spans="1:20" ht="15" customHeight="1" x14ac:dyDescent="0.25"/>
  </sheetData>
  <mergeCells count="20">
    <mergeCell ref="B5:G5"/>
    <mergeCell ref="B7:G7"/>
    <mergeCell ref="C8:F8"/>
    <mergeCell ref="C6:F6"/>
    <mergeCell ref="K54:L55"/>
    <mergeCell ref="J54:J55"/>
    <mergeCell ref="K48:P49"/>
    <mergeCell ref="J51:J52"/>
    <mergeCell ref="J48:J49"/>
    <mergeCell ref="K51:P52"/>
    <mergeCell ref="I3:T4"/>
    <mergeCell ref="R16:R17"/>
    <mergeCell ref="S16:S17"/>
    <mergeCell ref="K40:P45"/>
    <mergeCell ref="J7:J8"/>
    <mergeCell ref="J40:J41"/>
    <mergeCell ref="K20:P37"/>
    <mergeCell ref="K16:P17"/>
    <mergeCell ref="J20:J21"/>
    <mergeCell ref="J16:J17"/>
  </mergeCells>
  <pageMargins left="0.7" right="0.7" top="0.75" bottom="0.75" header="0.3" footer="0.3"/>
  <pageSetup paperSize="9" orientation="portrait" horizontalDpi="4294967293" r:id="rId1"/>
  <drawing r:id="rId2"/>
  <legacyDrawing r:id="rId3"/>
  <controls>
    <mc:AlternateContent xmlns:mc="http://schemas.openxmlformats.org/markup-compatibility/2006">
      <mc:Choice Requires="x14">
        <control shapeId="1027" r:id="rId4" name="ob_ria_type_3">
          <controlPr autoLine="0" r:id="rId5">
            <anchor moveWithCells="1">
              <from>
                <xdr:col>10</xdr:col>
                <xdr:colOff>9525</xdr:colOff>
                <xdr:row>10</xdr:row>
                <xdr:rowOff>142875</xdr:rowOff>
              </from>
              <to>
                <xdr:col>17</xdr:col>
                <xdr:colOff>476250</xdr:colOff>
                <xdr:row>13</xdr:row>
                <xdr:rowOff>19050</xdr:rowOff>
              </to>
            </anchor>
          </controlPr>
        </control>
      </mc:Choice>
      <mc:Fallback>
        <control shapeId="1027" r:id="rId4" name="ob_ria_type_3"/>
      </mc:Fallback>
    </mc:AlternateContent>
    <mc:AlternateContent xmlns:mc="http://schemas.openxmlformats.org/markup-compatibility/2006">
      <mc:Choice Requires="x14">
        <control shapeId="1026" r:id="rId6" name="ob_ria_type_2">
          <controlPr autoLine="0" r:id="rId7">
            <anchor moveWithCells="1">
              <from>
                <xdr:col>10</xdr:col>
                <xdr:colOff>9525</xdr:colOff>
                <xdr:row>7</xdr:row>
                <xdr:rowOff>171450</xdr:rowOff>
              </from>
              <to>
                <xdr:col>17</xdr:col>
                <xdr:colOff>457200</xdr:colOff>
                <xdr:row>10</xdr:row>
                <xdr:rowOff>47625</xdr:rowOff>
              </to>
            </anchor>
          </controlPr>
        </control>
      </mc:Choice>
      <mc:Fallback>
        <control shapeId="1026" r:id="rId6" name="ob_ria_type_2"/>
      </mc:Fallback>
    </mc:AlternateContent>
    <mc:AlternateContent xmlns:mc="http://schemas.openxmlformats.org/markup-compatibility/2006">
      <mc:Choice Requires="x14">
        <control shapeId="1025" r:id="rId8" name="ob_ria_type_1">
          <controlPr autoLine="0" autoPict="0" r:id="rId9">
            <anchor moveWithCells="1">
              <from>
                <xdr:col>10</xdr:col>
                <xdr:colOff>9525</xdr:colOff>
                <xdr:row>6</xdr:row>
                <xdr:rowOff>19050</xdr:rowOff>
              </from>
              <to>
                <xdr:col>16</xdr:col>
                <xdr:colOff>9525</xdr:colOff>
                <xdr:row>7</xdr:row>
                <xdr:rowOff>142875</xdr:rowOff>
              </to>
            </anchor>
          </controlPr>
        </control>
      </mc:Choice>
      <mc:Fallback>
        <control shapeId="1025" r:id="rId8" name="ob_ria_type_1"/>
      </mc:Fallback>
    </mc:AlternateContent>
    <mc:AlternateContent xmlns:mc="http://schemas.openxmlformats.org/markup-compatibility/2006">
      <mc:Choice Requires="x14">
        <control shapeId="1035" r:id="rId10" name="Button 11">
          <controlPr defaultSize="0" print="0" autoFill="0" autoPict="0" macro="[0]!Открыть_Word_Файл">
            <anchor moveWithCells="1" sizeWithCells="1">
              <from>
                <xdr:col>20</xdr:col>
                <xdr:colOff>542925</xdr:colOff>
                <xdr:row>6</xdr:row>
                <xdr:rowOff>180975</xdr:rowOff>
              </from>
              <to>
                <xdr:col>23</xdr:col>
                <xdr:colOff>57150</xdr:colOff>
                <xdr:row>8</xdr:row>
                <xdr:rowOff>171450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theme="7" tint="-0.249977111117893"/>
  </sheetPr>
  <dimension ref="A1:N54"/>
  <sheetViews>
    <sheetView showGridLines="0" showRowColHeaders="0" zoomScaleNormal="100" workbookViewId="0"/>
  </sheetViews>
  <sheetFormatPr defaultRowHeight="15" x14ac:dyDescent="0.25"/>
  <cols>
    <col min="1" max="1" width="2.5703125" style="1" customWidth="1"/>
    <col min="2" max="7" width="4.85546875" style="1" customWidth="1"/>
    <col min="8" max="8" width="2.5703125" style="1" customWidth="1"/>
    <col min="9" max="9" width="6.140625" style="1" customWidth="1"/>
    <col min="10" max="10" width="40.85546875" style="1" customWidth="1"/>
    <col min="11" max="11" width="67.7109375" style="1" customWidth="1"/>
    <col min="12" max="12" width="4.28515625" style="1" hidden="1" customWidth="1"/>
    <col min="13" max="13" width="6.5703125" style="1" customWidth="1"/>
    <col min="14" max="14" width="22.28515625" style="1" bestFit="1" customWidth="1"/>
    <col min="15" max="15" width="15.5703125" style="1" bestFit="1" customWidth="1"/>
    <col min="16" max="16" width="9.85546875" style="1" bestFit="1" customWidth="1"/>
    <col min="17" max="17" width="10.28515625" style="1" bestFit="1" customWidth="1"/>
    <col min="18" max="18" width="7.7109375" style="1" bestFit="1" customWidth="1"/>
    <col min="19" max="19" width="46" style="1" bestFit="1" customWidth="1"/>
    <col min="20" max="20" width="131.42578125" style="1" bestFit="1" customWidth="1"/>
    <col min="21" max="16384" width="9.140625" style="1"/>
  </cols>
  <sheetData>
    <row r="1" spans="1:14" ht="12.75" customHeight="1" x14ac:dyDescent="0.25">
      <c r="B1" s="2"/>
      <c r="C1" s="2"/>
      <c r="I1" s="2"/>
      <c r="J1" s="2"/>
      <c r="K1" s="2"/>
      <c r="L1" s="2"/>
      <c r="M1" s="2"/>
    </row>
    <row r="2" spans="1:14" ht="22.5" customHeight="1" x14ac:dyDescent="0.25">
      <c r="A2" s="6"/>
      <c r="B2" s="4"/>
      <c r="C2" s="4"/>
      <c r="D2" s="4"/>
      <c r="E2" s="24"/>
      <c r="F2" s="4"/>
      <c r="G2" s="4"/>
      <c r="I2" s="4"/>
      <c r="J2" s="4"/>
      <c r="K2" s="4"/>
      <c r="L2" s="4"/>
      <c r="M2" s="4"/>
    </row>
    <row r="3" spans="1:14" ht="15" customHeight="1" x14ac:dyDescent="0.25">
      <c r="A3" s="6"/>
      <c r="B3" s="4"/>
      <c r="C3" s="4"/>
      <c r="D3" s="4"/>
      <c r="E3" s="4"/>
      <c r="F3" s="4"/>
      <c r="G3" s="4"/>
      <c r="I3" s="111" t="s">
        <v>1</v>
      </c>
      <c r="J3" s="111"/>
      <c r="K3" s="111"/>
      <c r="L3" s="111"/>
      <c r="M3" s="111"/>
    </row>
    <row r="4" spans="1:14" ht="15" customHeight="1" x14ac:dyDescent="0.25">
      <c r="A4" s="6"/>
      <c r="B4" s="4"/>
      <c r="C4" s="4"/>
      <c r="D4" s="4"/>
      <c r="E4" s="4"/>
      <c r="F4" s="4"/>
      <c r="G4" s="4"/>
      <c r="I4" s="111"/>
      <c r="J4" s="111"/>
      <c r="K4" s="111"/>
      <c r="L4" s="111"/>
      <c r="M4" s="111"/>
    </row>
    <row r="5" spans="1:14" ht="15" customHeight="1" x14ac:dyDescent="0.25">
      <c r="A5" s="6"/>
      <c r="B5" s="115" t="s">
        <v>59</v>
      </c>
      <c r="C5" s="115"/>
      <c r="D5" s="115"/>
      <c r="E5" s="115"/>
      <c r="F5" s="115"/>
      <c r="G5" s="115"/>
      <c r="I5" s="33"/>
      <c r="J5" s="33"/>
      <c r="K5" s="33"/>
      <c r="L5" s="33"/>
      <c r="M5" s="33"/>
    </row>
    <row r="6" spans="1:14" ht="15" customHeight="1" x14ac:dyDescent="0.25">
      <c r="A6" s="6"/>
      <c r="B6" s="4"/>
      <c r="C6" s="113">
        <f>internal!tmpl_version</f>
        <v>25</v>
      </c>
      <c r="D6" s="113"/>
      <c r="E6" s="113"/>
      <c r="F6" s="113"/>
      <c r="G6" s="4"/>
      <c r="I6" s="32"/>
      <c r="J6" s="32"/>
      <c r="K6" s="32"/>
      <c r="L6" s="32"/>
      <c r="M6" s="32"/>
    </row>
    <row r="7" spans="1:14" ht="15" customHeight="1" x14ac:dyDescent="0.25">
      <c r="A7" s="6"/>
      <c r="B7" s="115" t="s">
        <v>60</v>
      </c>
      <c r="C7" s="115"/>
      <c r="D7" s="115"/>
      <c r="E7" s="115"/>
      <c r="F7" s="115"/>
      <c r="G7" s="115"/>
      <c r="I7"/>
      <c r="J7"/>
      <c r="K7"/>
      <c r="L7"/>
      <c r="M7"/>
    </row>
    <row r="8" spans="1:14" ht="15" customHeight="1" x14ac:dyDescent="0.25">
      <c r="A8" s="6"/>
      <c r="B8" s="25"/>
      <c r="C8" s="114">
        <f>internal!tmpl_date</f>
        <v>43597</v>
      </c>
      <c r="D8" s="114"/>
      <c r="E8" s="114"/>
      <c r="F8" s="114"/>
      <c r="G8" s="4"/>
      <c r="I8"/>
      <c r="J8" s="116" t="s">
        <v>42</v>
      </c>
      <c r="K8" s="123" t="s">
        <v>136</v>
      </c>
      <c r="L8"/>
      <c r="M8"/>
    </row>
    <row r="9" spans="1:14" ht="15" customHeight="1" x14ac:dyDescent="0.25">
      <c r="A9" s="6"/>
      <c r="B9" s="25"/>
      <c r="C9" s="26"/>
      <c r="D9" s="4"/>
      <c r="E9" s="4"/>
      <c r="F9" s="26"/>
      <c r="G9" s="4"/>
      <c r="I9"/>
      <c r="J9" s="116"/>
      <c r="K9" s="123"/>
      <c r="L9"/>
      <c r="M9"/>
      <c r="N9" s="9"/>
    </row>
    <row r="10" spans="1:14" ht="15" customHeight="1" x14ac:dyDescent="0.25">
      <c r="A10" s="5"/>
      <c r="B10" s="5"/>
      <c r="C10" s="5"/>
      <c r="D10" s="5"/>
      <c r="E10" s="5"/>
      <c r="F10" s="5"/>
      <c r="G10" s="5"/>
      <c r="H10" s="5"/>
      <c r="I10"/>
      <c r="J10"/>
      <c r="K10"/>
      <c r="L10"/>
      <c r="M10"/>
      <c r="N10" s="9"/>
    </row>
    <row r="11" spans="1:14" ht="15" customHeight="1" x14ac:dyDescent="0.25">
      <c r="A11" s="5"/>
      <c r="B11" s="5"/>
      <c r="C11" s="5"/>
      <c r="D11" s="5"/>
      <c r="E11" s="5"/>
      <c r="F11" s="5"/>
      <c r="G11" s="5"/>
      <c r="H11" s="5"/>
      <c r="I11"/>
      <c r="J11"/>
      <c r="K11"/>
      <c r="L11"/>
      <c r="M11"/>
      <c r="N11" s="9"/>
    </row>
    <row r="12" spans="1:14" ht="15" customHeight="1" x14ac:dyDescent="0.25">
      <c r="A12" s="5"/>
      <c r="B12" s="5"/>
      <c r="C12" s="5"/>
      <c r="D12" s="5"/>
      <c r="E12" s="5"/>
      <c r="F12" s="5"/>
      <c r="G12" s="5"/>
      <c r="H12" s="5"/>
      <c r="I12"/>
      <c r="J12" s="116" t="s">
        <v>43</v>
      </c>
      <c r="K12" s="124" t="s">
        <v>44</v>
      </c>
      <c r="L12"/>
      <c r="M12" s="3"/>
      <c r="N12" s="9"/>
    </row>
    <row r="13" spans="1:14" ht="15" customHeight="1" x14ac:dyDescent="0.25">
      <c r="A13" s="5"/>
      <c r="B13" s="5"/>
      <c r="C13" s="5"/>
      <c r="D13" s="5"/>
      <c r="E13" s="5"/>
      <c r="F13" s="5"/>
      <c r="G13" s="5"/>
      <c r="H13" s="5"/>
      <c r="I13"/>
      <c r="J13" s="116"/>
      <c r="K13" s="125"/>
      <c r="L13"/>
      <c r="M13" s="3"/>
    </row>
    <row r="14" spans="1:14" ht="15" customHeight="1" x14ac:dyDescent="0.25">
      <c r="A14" s="5"/>
      <c r="B14" s="5"/>
      <c r="C14" s="5"/>
      <c r="D14" s="5"/>
      <c r="E14" s="5"/>
      <c r="F14" s="5"/>
      <c r="G14" s="5"/>
      <c r="H14" s="5"/>
      <c r="I14"/>
      <c r="J14"/>
      <c r="K14"/>
      <c r="L14"/>
      <c r="M14" s="3"/>
    </row>
    <row r="15" spans="1:14" ht="18.75" customHeight="1" x14ac:dyDescent="0.25">
      <c r="A15" s="5"/>
      <c r="B15" s="5"/>
      <c r="C15" s="5"/>
      <c r="D15" s="5"/>
      <c r="E15" s="5"/>
      <c r="F15" s="5"/>
      <c r="G15" s="5"/>
      <c r="H15" s="5"/>
      <c r="I15" s="20"/>
      <c r="J15" s="20"/>
      <c r="K15" s="20"/>
      <c r="L15" s="20"/>
      <c r="M15" s="23"/>
    </row>
    <row r="16" spans="1:14" ht="18.75" customHeight="1" x14ac:dyDescent="0.25">
      <c r="A16" s="5"/>
      <c r="B16" s="5"/>
      <c r="C16" s="5"/>
      <c r="D16" s="5"/>
      <c r="E16" s="5"/>
      <c r="F16" s="5"/>
      <c r="G16" s="5"/>
      <c r="H16" s="5"/>
      <c r="I16" s="20"/>
      <c r="J16" s="49" t="s">
        <v>137</v>
      </c>
      <c r="K16" s="49" t="s">
        <v>29</v>
      </c>
      <c r="L16" s="30" t="s">
        <v>116</v>
      </c>
      <c r="M16" s="21"/>
    </row>
    <row r="17" spans="1:13" ht="18.75" customHeight="1" x14ac:dyDescent="0.25">
      <c r="A17" s="5"/>
      <c r="B17" s="5"/>
      <c r="C17" s="5"/>
      <c r="D17" s="5"/>
      <c r="E17" s="5"/>
      <c r="F17" s="5"/>
      <c r="G17" s="5"/>
      <c r="H17" s="5"/>
      <c r="I17" s="20"/>
      <c r="J17" s="51" t="s">
        <v>2</v>
      </c>
      <c r="K17" s="51" t="s">
        <v>45</v>
      </c>
      <c r="L17" s="20" t="str">
        <f t="array" ref="L17">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Михайлов Юрий Александрович</v>
      </c>
      <c r="M17" s="23"/>
    </row>
    <row r="18" spans="1:13" ht="18.75" customHeight="1" x14ac:dyDescent="0.25">
      <c r="A18" s="5"/>
      <c r="B18" s="5"/>
      <c r="C18" s="5"/>
      <c r="D18" s="5"/>
      <c r="E18" s="5"/>
      <c r="F18" s="5"/>
      <c r="G18" s="5"/>
      <c r="H18" s="5"/>
      <c r="I18" s="20"/>
      <c r="J18" s="51" t="s">
        <v>30</v>
      </c>
      <c r="K18" s="51" t="s">
        <v>128</v>
      </c>
      <c r="L18" s="20" t="str">
        <f t="array" ref="L18">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Жуков Вячеслав Владимирович</v>
      </c>
      <c r="M18" s="23"/>
    </row>
    <row r="19" spans="1:13" ht="18.75" customHeight="1" x14ac:dyDescent="0.25">
      <c r="A19" s="5"/>
      <c r="B19" s="5"/>
      <c r="C19" s="5"/>
      <c r="D19" s="5"/>
      <c r="E19" s="5"/>
      <c r="F19" s="5"/>
      <c r="G19" s="5"/>
      <c r="H19" s="5"/>
      <c r="I19" s="20"/>
      <c r="J19" s="52" t="s">
        <v>113</v>
      </c>
      <c r="K19" s="51" t="s">
        <v>114</v>
      </c>
      <c r="L19" s="20" t="str">
        <f t="array" ref="L19">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Осипова Елизавета Евгеньевна</v>
      </c>
      <c r="M19" s="23"/>
    </row>
    <row r="20" spans="1:13" ht="18.75" customHeight="1" x14ac:dyDescent="0.25">
      <c r="A20" s="5"/>
      <c r="B20" s="5"/>
      <c r="C20" s="5"/>
      <c r="D20" s="5"/>
      <c r="E20" s="5"/>
      <c r="F20" s="5"/>
      <c r="G20" s="5"/>
      <c r="H20" s="5"/>
      <c r="I20" s="20"/>
      <c r="J20" s="51"/>
      <c r="K20" s="51"/>
      <c r="L20" s="20" t="str">
        <f t="array" ref="L20">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0" s="23"/>
    </row>
    <row r="21" spans="1:13" ht="18.75" customHeight="1" x14ac:dyDescent="0.25">
      <c r="A21" s="5"/>
      <c r="B21" s="5"/>
      <c r="C21" s="5"/>
      <c r="D21" s="5"/>
      <c r="E21" s="5"/>
      <c r="F21" s="5"/>
      <c r="G21" s="5"/>
      <c r="H21" s="5"/>
      <c r="I21" s="20"/>
      <c r="J21" s="52"/>
      <c r="K21" s="51"/>
      <c r="L21" s="20" t="str">
        <f t="array" ref="L21">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1" s="23"/>
    </row>
    <row r="22" spans="1:13" ht="18.75" customHeight="1" x14ac:dyDescent="0.25">
      <c r="A22" s="5"/>
      <c r="B22" s="5"/>
      <c r="C22" s="5"/>
      <c r="D22" s="5"/>
      <c r="E22" s="5"/>
      <c r="F22" s="5"/>
      <c r="G22" s="5"/>
      <c r="H22" s="5"/>
      <c r="I22" s="20"/>
      <c r="J22" s="51"/>
      <c r="K22" s="51"/>
      <c r="L22" s="20" t="str">
        <f t="array" ref="L22">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2" s="23"/>
    </row>
    <row r="23" spans="1:13" ht="18.75" customHeight="1" x14ac:dyDescent="0.25">
      <c r="A23" s="5"/>
      <c r="B23" s="5"/>
      <c r="C23" s="5"/>
      <c r="D23" s="5"/>
      <c r="E23" s="5"/>
      <c r="F23" s="5"/>
      <c r="G23" s="5"/>
      <c r="H23" s="5"/>
      <c r="I23" s="20"/>
      <c r="J23" s="51"/>
      <c r="K23" s="51"/>
      <c r="L23" s="20" t="str">
        <f t="array" ref="L23">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3" s="23"/>
    </row>
    <row r="24" spans="1:13" ht="18.75" customHeight="1" x14ac:dyDescent="0.25">
      <c r="A24" s="5"/>
      <c r="B24" s="5"/>
      <c r="C24" s="5"/>
      <c r="D24" s="5"/>
      <c r="E24" s="5"/>
      <c r="F24" s="5"/>
      <c r="G24" s="5"/>
      <c r="H24" s="5"/>
      <c r="I24" s="20"/>
      <c r="J24" s="51"/>
      <c r="K24" s="51"/>
      <c r="L24" s="20" t="str">
        <f t="array" ref="L24">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4" s="23"/>
    </row>
    <row r="25" spans="1:13" ht="18.75" customHeight="1" x14ac:dyDescent="0.25">
      <c r="A25" s="5"/>
      <c r="B25" s="5"/>
      <c r="C25" s="5"/>
      <c r="D25" s="5"/>
      <c r="E25" s="5"/>
      <c r="F25" s="5"/>
      <c r="G25" s="5"/>
      <c r="H25" s="5"/>
      <c r="I25" s="20"/>
      <c r="J25" s="51"/>
      <c r="K25" s="51"/>
      <c r="L25" s="20" t="str">
        <f t="array" ref="L25">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5" s="23"/>
    </row>
    <row r="26" spans="1:13" ht="18.75" customHeight="1" x14ac:dyDescent="0.25">
      <c r="A26" s="5"/>
      <c r="B26" s="5"/>
      <c r="C26" s="5"/>
      <c r="D26" s="5"/>
      <c r="E26" s="5"/>
      <c r="F26" s="5"/>
      <c r="G26" s="5"/>
      <c r="H26" s="5"/>
      <c r="I26" s="20"/>
      <c r="J26" s="51"/>
      <c r="K26" s="51"/>
      <c r="L26" s="20" t="str">
        <f t="array" ref="L26">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6" s="23"/>
    </row>
    <row r="27" spans="1:13" ht="18.75" customHeight="1" x14ac:dyDescent="0.25">
      <c r="A27" s="5"/>
      <c r="B27" s="5"/>
      <c r="C27" s="5"/>
      <c r="D27" s="5"/>
      <c r="E27" s="5"/>
      <c r="F27" s="5"/>
      <c r="G27" s="5"/>
      <c r="H27" s="5"/>
      <c r="I27" s="20"/>
      <c r="J27" s="52"/>
      <c r="K27" s="52"/>
      <c r="L27" s="20" t="str">
        <f t="array" ref="L27">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7" s="23"/>
    </row>
    <row r="28" spans="1:13" ht="18.75" customHeight="1" x14ac:dyDescent="0.25">
      <c r="A28" s="5"/>
      <c r="B28" s="5"/>
      <c r="C28" s="5"/>
      <c r="D28" s="5"/>
      <c r="E28" s="5"/>
      <c r="F28" s="5"/>
      <c r="G28" s="5"/>
      <c r="I28" s="20"/>
      <c r="J28" s="51"/>
      <c r="K28" s="51"/>
      <c r="L28" s="20" t="str">
        <f t="array" ref="L28">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8" s="23"/>
    </row>
    <row r="29" spans="1:13" x14ac:dyDescent="0.25">
      <c r="A29" s="5"/>
      <c r="B29" s="5"/>
      <c r="C29" s="5"/>
      <c r="D29" s="5"/>
      <c r="E29" s="5"/>
      <c r="F29" s="5"/>
      <c r="G29" s="5"/>
      <c r="I29" s="20"/>
      <c r="J29" s="51"/>
      <c r="K29" s="51"/>
      <c r="L29" s="20" t="str">
        <f t="array" ref="L29">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29" s="23"/>
    </row>
    <row r="30" spans="1:13" x14ac:dyDescent="0.25">
      <c r="A30" s="5"/>
      <c r="B30" s="5"/>
      <c r="C30" s="5"/>
      <c r="D30" s="5"/>
      <c r="E30" s="5"/>
      <c r="F30" s="5"/>
      <c r="G30" s="5"/>
      <c r="I30" s="20"/>
      <c r="J30" s="51"/>
      <c r="K30" s="51"/>
      <c r="L30" s="20" t="str">
        <f t="array" ref="L30">IFERROR(INDEX(ria_authors[И.О. заведующий кафедрой], MATCH(SMALL(ROW(ria_authors[И.О. заведующий кафедрой])*(LEN(ria_authors[И.О. заведующий кафедрой])&gt;0), ROW(ria_authors[[#This Row],[И.О. заведующий кафедрой]])-ROW(ria_authors[[#Headers],[И.О. заведующий кафедрой]])+COUNTBLANK(ria_authors[И.О. заведующий кафедрой])), ROW(ria_authors[И.О. заведующий кафедрой])*(LEN(ria_authors[И.О. заведующий кафедрой])&gt;0), 0)),"")</f>
        <v/>
      </c>
      <c r="M30" s="23"/>
    </row>
    <row r="31" spans="1:13" x14ac:dyDescent="0.25">
      <c r="A31" s="5"/>
      <c r="B31" s="5"/>
      <c r="C31" s="5"/>
      <c r="D31" s="5"/>
      <c r="E31" s="5"/>
      <c r="F31" s="5"/>
      <c r="G31" s="5"/>
      <c r="I31" s="20"/>
      <c r="J31" s="20"/>
      <c r="K31" s="20"/>
      <c r="L31" s="20"/>
      <c r="M31" s="20"/>
    </row>
    <row r="32" spans="1:13" x14ac:dyDescent="0.25">
      <c r="A32" s="5"/>
      <c r="B32" s="5"/>
      <c r="C32" s="5"/>
      <c r="D32" s="5"/>
      <c r="E32" s="5"/>
      <c r="F32" s="5"/>
      <c r="G32" s="5"/>
      <c r="I32" s="20"/>
      <c r="J32" s="20"/>
      <c r="K32" s="20"/>
      <c r="L32" s="20"/>
      <c r="M32" s="20"/>
    </row>
    <row r="33" spans="1:7" x14ac:dyDescent="0.25">
      <c r="A33" s="5"/>
      <c r="B33" s="5"/>
      <c r="C33" s="5"/>
      <c r="D33" s="5"/>
      <c r="E33" s="5"/>
      <c r="F33" s="5"/>
      <c r="G33" s="5"/>
    </row>
    <row r="34" spans="1:7" x14ac:dyDescent="0.25">
      <c r="A34" s="5"/>
      <c r="B34" s="5"/>
      <c r="C34" s="5"/>
      <c r="D34" s="5"/>
      <c r="E34" s="5"/>
      <c r="F34" s="5"/>
      <c r="G34" s="5"/>
    </row>
    <row r="35" spans="1:7" x14ac:dyDescent="0.25">
      <c r="A35" s="5"/>
      <c r="B35" s="5"/>
      <c r="C35" s="5"/>
      <c r="D35" s="5"/>
      <c r="E35" s="5"/>
      <c r="F35" s="5"/>
      <c r="G35" s="5"/>
    </row>
    <row r="36" spans="1:7" x14ac:dyDescent="0.25">
      <c r="A36" s="5"/>
      <c r="B36" s="5"/>
      <c r="C36" s="5"/>
      <c r="D36" s="5"/>
      <c r="E36" s="5"/>
      <c r="F36" s="5"/>
      <c r="G36" s="5"/>
    </row>
    <row r="37" spans="1:7" x14ac:dyDescent="0.25">
      <c r="A37" s="5"/>
      <c r="B37" s="5"/>
      <c r="C37" s="5"/>
      <c r="D37" s="5"/>
      <c r="E37" s="5"/>
      <c r="F37" s="5"/>
      <c r="G37" s="5"/>
    </row>
    <row r="38" spans="1:7" x14ac:dyDescent="0.25">
      <c r="A38" s="5"/>
      <c r="B38" s="5"/>
      <c r="C38" s="5"/>
      <c r="D38" s="5"/>
      <c r="E38" s="5"/>
      <c r="F38" s="5"/>
      <c r="G38" s="5"/>
    </row>
    <row r="39" spans="1:7" x14ac:dyDescent="0.25">
      <c r="A39" s="5"/>
      <c r="B39" s="5"/>
      <c r="C39" s="5"/>
      <c r="D39" s="5"/>
      <c r="E39" s="5"/>
      <c r="F39" s="5"/>
      <c r="G39" s="5"/>
    </row>
    <row r="40" spans="1:7" x14ac:dyDescent="0.25">
      <c r="A40" s="5"/>
      <c r="B40" s="5"/>
      <c r="C40" s="5"/>
      <c r="D40" s="5"/>
      <c r="E40" s="5"/>
      <c r="F40" s="5"/>
      <c r="G40" s="5"/>
    </row>
    <row r="41" spans="1:7" x14ac:dyDescent="0.25">
      <c r="A41" s="5"/>
      <c r="B41" s="5"/>
      <c r="C41" s="5"/>
      <c r="D41" s="5"/>
      <c r="E41" s="5"/>
      <c r="F41" s="5"/>
      <c r="G41" s="5"/>
    </row>
    <row r="42" spans="1:7" x14ac:dyDescent="0.25">
      <c r="A42" s="5"/>
      <c r="B42" s="5"/>
      <c r="C42" s="5"/>
      <c r="D42" s="5"/>
      <c r="E42" s="5"/>
      <c r="F42" s="5"/>
      <c r="G42" s="5"/>
    </row>
    <row r="43" spans="1:7" x14ac:dyDescent="0.25">
      <c r="A43" s="5"/>
      <c r="B43" s="5"/>
      <c r="C43" s="5"/>
      <c r="D43" s="5"/>
      <c r="E43" s="5"/>
      <c r="F43" s="5"/>
      <c r="G43" s="5"/>
    </row>
    <row r="44" spans="1:7" x14ac:dyDescent="0.25">
      <c r="A44" s="5"/>
      <c r="B44" s="5"/>
      <c r="C44" s="5"/>
      <c r="D44" s="5"/>
      <c r="E44" s="5"/>
      <c r="F44" s="5"/>
      <c r="G44" s="5"/>
    </row>
    <row r="45" spans="1:7" x14ac:dyDescent="0.25">
      <c r="A45" s="5"/>
      <c r="B45" s="5"/>
      <c r="C45" s="5"/>
      <c r="D45" s="5"/>
      <c r="E45" s="5"/>
      <c r="F45" s="5"/>
      <c r="G45" s="5"/>
    </row>
    <row r="46" spans="1:7" x14ac:dyDescent="0.25">
      <c r="A46" s="5"/>
      <c r="B46" s="5"/>
      <c r="C46" s="5"/>
      <c r="D46" s="5"/>
      <c r="E46" s="5"/>
      <c r="F46" s="5"/>
      <c r="G46" s="5"/>
    </row>
    <row r="47" spans="1:7" x14ac:dyDescent="0.25">
      <c r="A47" s="5"/>
      <c r="B47" s="5"/>
      <c r="C47" s="5"/>
      <c r="D47" s="5"/>
      <c r="E47" s="5"/>
      <c r="F47" s="5"/>
      <c r="G47" s="5"/>
    </row>
    <row r="48" spans="1:7" x14ac:dyDescent="0.25">
      <c r="A48" s="6"/>
    </row>
    <row r="49" spans="1:1" x14ac:dyDescent="0.25">
      <c r="A49" s="6"/>
    </row>
    <row r="50" spans="1:1" x14ac:dyDescent="0.25">
      <c r="A50" s="6"/>
    </row>
    <row r="51" spans="1:1" x14ac:dyDescent="0.25">
      <c r="A51" s="6"/>
    </row>
    <row r="52" spans="1:1" x14ac:dyDescent="0.25">
      <c r="A52" s="6"/>
    </row>
    <row r="53" spans="1:1" x14ac:dyDescent="0.25">
      <c r="A53" s="6"/>
    </row>
    <row r="54" spans="1:1" x14ac:dyDescent="0.25">
      <c r="A54" s="6"/>
    </row>
  </sheetData>
  <mergeCells count="9">
    <mergeCell ref="B5:G5"/>
    <mergeCell ref="B7:G7"/>
    <mergeCell ref="I3:M4"/>
    <mergeCell ref="K8:K9"/>
    <mergeCell ref="K12:K13"/>
    <mergeCell ref="C6:F6"/>
    <mergeCell ref="C8:F8"/>
    <mergeCell ref="J8:J9"/>
    <mergeCell ref="J12:J13"/>
  </mergeCells>
  <dataValidations count="2">
    <dataValidation type="list" allowBlank="1" showInputMessage="1" showErrorMessage="1" sqref="J17:J30" xr:uid="{00000000-0002-0000-0400-000000000000}">
      <formula1>INDIRECT("ria_authors_db[names_alphabetically]")</formula1>
    </dataValidation>
    <dataValidation type="textLength" allowBlank="1" showInputMessage="1" showErrorMessage="1" error="Длина описания творческого вклада автора должна быть не менее 16 символов, и не более 150 символов" sqref="K17:K30" xr:uid="{00000000-0002-0000-0400-000001000000}">
      <formula1>16</formula1>
      <formula2>150</formula2>
    </dataValidation>
  </dataValidations>
  <pageMargins left="0.7" right="0.7" top="0.75" bottom="0.75" header="0.3" footer="0.3"/>
  <drawing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theme="4" tint="-0.249977111117893"/>
  </sheetPr>
  <dimension ref="A1:Q54"/>
  <sheetViews>
    <sheetView showGridLines="0" showRowColHeaders="0" workbookViewId="0"/>
  </sheetViews>
  <sheetFormatPr defaultRowHeight="15" x14ac:dyDescent="0.25"/>
  <cols>
    <col min="1" max="1" width="2.5703125" style="1" customWidth="1"/>
    <col min="2" max="7" width="4.85546875" style="1" customWidth="1"/>
    <col min="8" max="8" width="2.5703125" style="1" customWidth="1"/>
    <col min="9" max="9" width="3.7109375" style="1" customWidth="1"/>
    <col min="10" max="11" width="14" style="5" customWidth="1"/>
    <col min="12" max="12" width="54.28515625" style="5" customWidth="1"/>
    <col min="13" max="13" width="13.5703125" style="5" customWidth="1"/>
    <col min="14" max="14" width="14.5703125" style="5" customWidth="1"/>
    <col min="15" max="15" width="54.28515625" style="5" customWidth="1"/>
    <col min="16" max="16" width="8.42578125" style="5" customWidth="1"/>
    <col min="17" max="17" width="9.140625" style="5"/>
    <col min="18" max="16384" width="9.140625" style="1"/>
  </cols>
  <sheetData>
    <row r="1" spans="1:17" ht="12.75" customHeight="1" x14ac:dyDescent="0.25">
      <c r="B1" s="2"/>
      <c r="C1" s="2"/>
      <c r="I1" s="2"/>
      <c r="J1" s="2"/>
      <c r="K1" s="2"/>
      <c r="L1" s="2"/>
      <c r="M1" s="2"/>
      <c r="N1" s="2"/>
      <c r="O1" s="2"/>
      <c r="P1" s="2"/>
      <c r="Q1" s="2"/>
    </row>
    <row r="2" spans="1:17" ht="22.5" customHeight="1" x14ac:dyDescent="0.25">
      <c r="A2" s="6"/>
      <c r="B2" s="4"/>
      <c r="C2" s="4"/>
      <c r="D2" s="4"/>
      <c r="E2" s="24"/>
      <c r="F2" s="4"/>
      <c r="G2" s="4"/>
      <c r="I2" s="7"/>
      <c r="J2" s="7"/>
      <c r="K2" s="7"/>
      <c r="L2" s="7"/>
      <c r="M2" s="7"/>
      <c r="N2" s="7"/>
      <c r="O2" s="7"/>
      <c r="P2" s="7"/>
      <c r="Q2" s="1"/>
    </row>
    <row r="3" spans="1:17" ht="15" customHeight="1" x14ac:dyDescent="0.25">
      <c r="A3" s="6"/>
      <c r="B3" s="4"/>
      <c r="C3" s="4"/>
      <c r="D3" s="4"/>
      <c r="E3" s="4"/>
      <c r="F3" s="4"/>
      <c r="G3" s="4"/>
      <c r="I3" s="111" t="s">
        <v>46</v>
      </c>
      <c r="J3" s="111"/>
      <c r="K3" s="111"/>
      <c r="L3" s="111"/>
      <c r="M3" s="111"/>
      <c r="N3" s="111"/>
      <c r="O3" s="111"/>
      <c r="P3" s="111"/>
    </row>
    <row r="4" spans="1:17" ht="15" customHeight="1" x14ac:dyDescent="0.25">
      <c r="A4" s="6"/>
      <c r="B4" s="4"/>
      <c r="C4" s="4"/>
      <c r="D4" s="4"/>
      <c r="E4" s="4"/>
      <c r="F4" s="4"/>
      <c r="G4" s="4"/>
      <c r="I4" s="111"/>
      <c r="J4" s="111"/>
      <c r="K4" s="111"/>
      <c r="L4" s="111"/>
      <c r="M4" s="111"/>
      <c r="N4" s="111"/>
      <c r="O4" s="111"/>
      <c r="P4" s="111"/>
    </row>
    <row r="5" spans="1:17" ht="15" customHeight="1" x14ac:dyDescent="0.25">
      <c r="A5" s="6"/>
      <c r="B5" s="115" t="s">
        <v>59</v>
      </c>
      <c r="C5" s="115"/>
      <c r="D5" s="115"/>
      <c r="E5" s="115"/>
      <c r="F5" s="115"/>
      <c r="G5" s="115"/>
      <c r="I5" s="33"/>
      <c r="J5" s="33"/>
      <c r="K5" s="33"/>
      <c r="L5" s="33"/>
      <c r="M5" s="33"/>
      <c r="N5" s="33"/>
      <c r="O5" s="33"/>
      <c r="P5" s="33"/>
    </row>
    <row r="6" spans="1:17" ht="15" customHeight="1" x14ac:dyDescent="0.25">
      <c r="A6" s="6"/>
      <c r="B6" s="4"/>
      <c r="C6" s="113">
        <f>internal!tmpl_version</f>
        <v>25</v>
      </c>
      <c r="D6" s="113"/>
      <c r="E6" s="113"/>
      <c r="F6" s="113"/>
      <c r="G6" s="4"/>
      <c r="I6" s="7"/>
      <c r="J6" s="7"/>
      <c r="K6" s="7"/>
      <c r="L6" s="7"/>
      <c r="M6" s="7"/>
      <c r="N6" s="7"/>
      <c r="O6" s="7"/>
      <c r="P6" s="7"/>
    </row>
    <row r="7" spans="1:17" x14ac:dyDescent="0.25">
      <c r="A7" s="6"/>
      <c r="B7" s="115" t="s">
        <v>60</v>
      </c>
      <c r="C7" s="115"/>
      <c r="D7" s="115"/>
      <c r="E7" s="115"/>
      <c r="F7" s="115"/>
      <c r="G7" s="115"/>
      <c r="I7" s="7"/>
      <c r="J7" s="7"/>
      <c r="K7" s="7"/>
      <c r="L7" s="7"/>
      <c r="M7" s="7"/>
      <c r="N7" s="7"/>
      <c r="O7" s="7"/>
      <c r="P7" s="7"/>
    </row>
    <row r="8" spans="1:17" ht="15" customHeight="1" x14ac:dyDescent="0.25">
      <c r="A8" s="6"/>
      <c r="B8" s="25"/>
      <c r="C8" s="114">
        <f>internal!tmpl_date</f>
        <v>43597</v>
      </c>
      <c r="D8" s="114"/>
      <c r="E8" s="114"/>
      <c r="F8" s="114"/>
      <c r="G8" s="4"/>
      <c r="I8" s="7"/>
      <c r="J8" s="116" t="s">
        <v>47</v>
      </c>
      <c r="K8" s="116"/>
      <c r="L8" s="126">
        <v>43507</v>
      </c>
      <c r="M8" s="116" t="s">
        <v>48</v>
      </c>
      <c r="N8" s="116"/>
      <c r="O8" s="126">
        <v>43615</v>
      </c>
      <c r="P8" s="7"/>
    </row>
    <row r="9" spans="1:17" ht="15" customHeight="1" x14ac:dyDescent="0.25">
      <c r="A9" s="6"/>
      <c r="B9" s="25"/>
      <c r="C9" s="26"/>
      <c r="D9" s="4"/>
      <c r="E9" s="4"/>
      <c r="F9" s="26"/>
      <c r="G9" s="4"/>
      <c r="I9" s="7"/>
      <c r="J9" s="116"/>
      <c r="K9" s="116"/>
      <c r="L9" s="126"/>
      <c r="M9" s="116"/>
      <c r="N9" s="116"/>
      <c r="O9" s="126"/>
      <c r="P9" s="7"/>
    </row>
    <row r="10" spans="1:17" ht="15" customHeight="1" x14ac:dyDescent="0.25">
      <c r="A10" s="5"/>
      <c r="B10" s="5"/>
      <c r="C10" s="5"/>
      <c r="D10" s="5"/>
      <c r="E10" s="5"/>
      <c r="F10" s="5"/>
      <c r="G10" s="5"/>
      <c r="H10" s="5"/>
      <c r="I10" s="7"/>
      <c r="J10" s="7"/>
      <c r="K10" s="7"/>
      <c r="L10" s="7"/>
      <c r="M10" s="7"/>
      <c r="N10" s="7"/>
      <c r="O10" s="7"/>
      <c r="P10" s="7"/>
    </row>
    <row r="11" spans="1:17" ht="15" customHeight="1" x14ac:dyDescent="0.25">
      <c r="A11" s="5"/>
      <c r="B11" s="5"/>
      <c r="C11" s="5"/>
      <c r="D11" s="5"/>
      <c r="E11" s="5"/>
      <c r="F11" s="5"/>
      <c r="G11" s="5"/>
      <c r="H11" s="5"/>
      <c r="I11" s="7"/>
      <c r="J11" s="7"/>
      <c r="K11" s="7"/>
      <c r="L11" s="7"/>
      <c r="M11" s="7"/>
      <c r="N11" s="7"/>
      <c r="O11" s="7"/>
      <c r="P11" s="7"/>
    </row>
    <row r="12" spans="1:17" ht="15" customHeight="1" x14ac:dyDescent="0.25">
      <c r="A12" s="5"/>
      <c r="B12" s="5"/>
      <c r="C12" s="5"/>
      <c r="D12" s="5"/>
      <c r="E12" s="5"/>
      <c r="F12" s="5"/>
      <c r="G12" s="5"/>
      <c r="H12" s="5"/>
      <c r="I12" s="7"/>
      <c r="J12" s="116" t="s">
        <v>49</v>
      </c>
      <c r="K12" s="116"/>
      <c r="L12" s="127" t="s">
        <v>50</v>
      </c>
      <c r="M12" s="128" t="s">
        <v>132</v>
      </c>
      <c r="N12" s="128"/>
      <c r="O12" s="7"/>
      <c r="P12" s="7"/>
    </row>
    <row r="13" spans="1:17" ht="15" customHeight="1" x14ac:dyDescent="0.25">
      <c r="A13" s="5"/>
      <c r="B13" s="5"/>
      <c r="C13" s="5"/>
      <c r="D13" s="5"/>
      <c r="E13" s="5"/>
      <c r="F13" s="5"/>
      <c r="G13" s="5"/>
      <c r="H13" s="5"/>
      <c r="I13" s="7"/>
      <c r="J13" s="116"/>
      <c r="K13" s="116"/>
      <c r="L13" s="127"/>
      <c r="M13" s="128"/>
      <c r="N13" s="128"/>
      <c r="O13" s="7"/>
      <c r="P13" s="7"/>
    </row>
    <row r="14" spans="1:17" ht="15" customHeight="1" x14ac:dyDescent="0.25">
      <c r="A14" s="5"/>
      <c r="B14" s="5"/>
      <c r="C14" s="5"/>
      <c r="D14" s="5"/>
      <c r="E14" s="5"/>
      <c r="F14" s="5"/>
      <c r="G14" s="5"/>
      <c r="H14" s="5"/>
      <c r="I14" s="7"/>
      <c r="J14" s="7"/>
      <c r="K14" s="7"/>
      <c r="L14" s="7"/>
      <c r="M14" s="7"/>
      <c r="N14" s="7"/>
      <c r="O14" s="7"/>
      <c r="P14" s="7"/>
    </row>
    <row r="15" spans="1:17" ht="15" customHeight="1" x14ac:dyDescent="0.25">
      <c r="A15" s="5"/>
      <c r="B15" s="5"/>
      <c r="C15" s="5"/>
      <c r="D15" s="5"/>
      <c r="E15" s="5"/>
      <c r="F15" s="5"/>
      <c r="G15" s="5"/>
      <c r="H15" s="5"/>
      <c r="I15" s="7"/>
      <c r="J15" s="7"/>
      <c r="K15" s="7"/>
      <c r="L15" s="7"/>
      <c r="M15" s="7"/>
      <c r="N15" s="7"/>
      <c r="O15" s="7"/>
      <c r="P15" s="7"/>
    </row>
    <row r="16" spans="1:17" ht="15" customHeight="1" x14ac:dyDescent="0.25">
      <c r="A16" s="5"/>
      <c r="B16" s="5"/>
      <c r="C16" s="5"/>
      <c r="D16" s="5"/>
      <c r="E16" s="5"/>
      <c r="F16" s="5"/>
      <c r="G16" s="5"/>
      <c r="H16" s="5"/>
      <c r="I16" s="7"/>
      <c r="J16" s="116" t="s">
        <v>51</v>
      </c>
      <c r="K16" s="116"/>
      <c r="L16" s="123" t="s">
        <v>138</v>
      </c>
      <c r="M16" s="7"/>
      <c r="N16" s="7"/>
      <c r="O16" s="7"/>
      <c r="P16" s="7"/>
    </row>
    <row r="17" spans="1:16" ht="15" customHeight="1" x14ac:dyDescent="0.25">
      <c r="A17" s="5"/>
      <c r="B17" s="5"/>
      <c r="C17" s="5"/>
      <c r="D17" s="5"/>
      <c r="E17" s="5"/>
      <c r="F17" s="5"/>
      <c r="G17" s="5"/>
      <c r="H17" s="5"/>
      <c r="I17" s="7"/>
      <c r="J17" s="116"/>
      <c r="K17" s="116"/>
      <c r="L17" s="123"/>
      <c r="M17" s="7"/>
      <c r="N17" s="7"/>
      <c r="O17" s="7"/>
      <c r="P17" s="7"/>
    </row>
    <row r="18" spans="1:16" ht="15" customHeight="1" x14ac:dyDescent="0.25">
      <c r="A18" s="5"/>
      <c r="B18" s="5"/>
      <c r="C18" s="5"/>
      <c r="D18" s="5"/>
      <c r="E18" s="5"/>
      <c r="F18" s="5"/>
      <c r="G18" s="5"/>
      <c r="H18" s="5"/>
      <c r="I18" s="7"/>
      <c r="J18" s="7"/>
      <c r="K18" s="7"/>
      <c r="L18" s="7"/>
      <c r="M18" s="7"/>
      <c r="N18" s="7"/>
      <c r="O18" s="7"/>
      <c r="P18" s="7"/>
    </row>
    <row r="19" spans="1:16" ht="15" customHeight="1" x14ac:dyDescent="0.25">
      <c r="A19" s="5"/>
      <c r="B19" s="5"/>
      <c r="C19" s="5"/>
      <c r="D19" s="5"/>
      <c r="E19" s="5"/>
      <c r="F19" s="5"/>
      <c r="G19" s="5"/>
      <c r="H19" s="5"/>
      <c r="I19" s="7"/>
      <c r="J19" s="7"/>
      <c r="K19" s="7"/>
      <c r="L19" s="7"/>
      <c r="M19" s="7"/>
      <c r="N19" s="7"/>
      <c r="O19" s="7"/>
      <c r="P19" s="7"/>
    </row>
    <row r="20" spans="1:16" ht="15" customHeight="1" x14ac:dyDescent="0.25">
      <c r="A20" s="5"/>
      <c r="B20" s="5"/>
      <c r="C20" s="5"/>
      <c r="D20" s="5"/>
      <c r="E20" s="5"/>
      <c r="F20" s="5"/>
      <c r="G20" s="5"/>
      <c r="H20" s="5"/>
      <c r="I20" s="7"/>
      <c r="J20" s="116" t="s">
        <v>139</v>
      </c>
      <c r="K20" s="116"/>
      <c r="L20" s="123" t="s">
        <v>140</v>
      </c>
      <c r="M20" s="7"/>
      <c r="N20" s="7"/>
      <c r="O20" s="7"/>
      <c r="P20" s="7"/>
    </row>
    <row r="21" spans="1:16" ht="15" customHeight="1" x14ac:dyDescent="0.25">
      <c r="A21" s="5"/>
      <c r="B21" s="5"/>
      <c r="C21" s="5"/>
      <c r="D21" s="5"/>
      <c r="E21" s="5"/>
      <c r="F21" s="5"/>
      <c r="G21" s="5"/>
      <c r="H21" s="5"/>
      <c r="I21" s="7"/>
      <c r="J21" s="116"/>
      <c r="K21" s="116"/>
      <c r="L21" s="123"/>
      <c r="M21" s="7"/>
      <c r="N21" s="7"/>
      <c r="O21" s="7"/>
      <c r="P21" s="7"/>
    </row>
    <row r="22" spans="1:16" ht="15" customHeight="1" x14ac:dyDescent="0.25">
      <c r="A22" s="5"/>
      <c r="B22" s="5"/>
      <c r="C22" s="5"/>
      <c r="D22" s="5"/>
      <c r="E22" s="5"/>
      <c r="F22" s="5"/>
      <c r="G22" s="5"/>
      <c r="H22" s="5"/>
      <c r="I22" s="7"/>
      <c r="J22" s="7"/>
      <c r="K22" s="7"/>
      <c r="L22" s="7"/>
      <c r="M22" s="7"/>
      <c r="N22" s="7"/>
      <c r="O22" s="7"/>
      <c r="P22" s="7"/>
    </row>
    <row r="23" spans="1:16" ht="15" customHeight="1" x14ac:dyDescent="0.25">
      <c r="A23" s="5"/>
      <c r="B23" s="5"/>
      <c r="C23" s="5"/>
      <c r="D23" s="5"/>
      <c r="E23" s="5"/>
      <c r="F23" s="5"/>
      <c r="G23" s="5"/>
      <c r="H23" s="5"/>
      <c r="I23" s="7"/>
      <c r="J23" s="7"/>
      <c r="K23" s="7"/>
      <c r="L23" s="7"/>
      <c r="M23" s="7"/>
      <c r="N23" s="7"/>
      <c r="O23" s="7"/>
      <c r="P23" s="7"/>
    </row>
    <row r="24" spans="1:16" ht="15" customHeight="1" x14ac:dyDescent="0.25">
      <c r="A24" s="5"/>
      <c r="B24" s="5"/>
      <c r="C24" s="5"/>
      <c r="D24" s="5"/>
      <c r="E24" s="5"/>
      <c r="F24" s="5"/>
      <c r="G24" s="5"/>
      <c r="H24" s="5"/>
      <c r="I24" s="7"/>
      <c r="J24" s="116" t="s">
        <v>141</v>
      </c>
      <c r="K24" s="116"/>
      <c r="L24" s="123" t="s">
        <v>142</v>
      </c>
      <c r="M24" s="7"/>
      <c r="N24" s="7"/>
      <c r="O24" s="7"/>
      <c r="P24" s="7"/>
    </row>
    <row r="25" spans="1:16" ht="15" customHeight="1" x14ac:dyDescent="0.25">
      <c r="A25" s="5"/>
      <c r="B25" s="5"/>
      <c r="C25" s="5"/>
      <c r="D25" s="5"/>
      <c r="E25" s="5"/>
      <c r="F25" s="5"/>
      <c r="G25" s="5"/>
      <c r="H25" s="5"/>
      <c r="I25" s="7"/>
      <c r="J25" s="116"/>
      <c r="K25" s="116"/>
      <c r="L25" s="123"/>
      <c r="M25" s="7"/>
      <c r="N25" s="7"/>
      <c r="O25" s="7"/>
      <c r="P25" s="7"/>
    </row>
    <row r="26" spans="1:16" ht="15" customHeight="1" x14ac:dyDescent="0.25">
      <c r="A26" s="5"/>
      <c r="B26" s="5"/>
      <c r="C26" s="5"/>
      <c r="D26" s="5"/>
      <c r="E26" s="5"/>
      <c r="F26" s="5"/>
      <c r="G26" s="5"/>
      <c r="H26" s="5"/>
      <c r="I26" s="7"/>
      <c r="J26" s="7"/>
      <c r="K26" s="7"/>
      <c r="L26" s="7"/>
      <c r="M26" s="7"/>
      <c r="N26" s="7"/>
      <c r="O26" s="7"/>
      <c r="P26" s="7"/>
    </row>
    <row r="27" spans="1:16" ht="15" customHeight="1" x14ac:dyDescent="0.25">
      <c r="A27" s="5"/>
      <c r="B27" s="5"/>
      <c r="C27" s="5"/>
      <c r="D27" s="5"/>
      <c r="E27" s="5"/>
      <c r="F27" s="5"/>
      <c r="G27" s="5"/>
      <c r="H27" s="5"/>
      <c r="I27" s="7"/>
      <c r="J27" s="7"/>
      <c r="K27" s="7"/>
      <c r="L27" s="7"/>
      <c r="M27" s="7"/>
      <c r="N27" s="7"/>
      <c r="O27" s="7"/>
      <c r="P27" s="7"/>
    </row>
    <row r="28" spans="1:16" ht="15" customHeight="1" x14ac:dyDescent="0.25">
      <c r="A28" s="5"/>
      <c r="B28" s="5"/>
      <c r="C28" s="5"/>
      <c r="D28" s="5"/>
      <c r="E28" s="5"/>
      <c r="F28" s="5"/>
      <c r="G28" s="5"/>
      <c r="I28" s="22"/>
      <c r="J28" s="116" t="s">
        <v>143</v>
      </c>
      <c r="K28" s="116"/>
      <c r="L28" s="123" t="s">
        <v>144</v>
      </c>
      <c r="M28" s="22"/>
      <c r="N28" s="7"/>
      <c r="O28" s="7"/>
      <c r="P28" s="7"/>
    </row>
    <row r="29" spans="1:16" ht="15" customHeight="1" x14ac:dyDescent="0.25">
      <c r="A29" s="5"/>
      <c r="B29" s="5"/>
      <c r="C29" s="5"/>
      <c r="D29" s="5"/>
      <c r="E29" s="5"/>
      <c r="F29" s="5"/>
      <c r="G29" s="5"/>
      <c r="I29" s="22"/>
      <c r="J29" s="116"/>
      <c r="K29" s="116"/>
      <c r="L29" s="123"/>
      <c r="M29" s="22"/>
      <c r="N29" s="7"/>
      <c r="O29" s="7"/>
      <c r="P29" s="7"/>
    </row>
    <row r="30" spans="1:16" ht="15" customHeight="1" x14ac:dyDescent="0.25">
      <c r="A30" s="5"/>
      <c r="B30" s="5"/>
      <c r="C30" s="5"/>
      <c r="D30" s="5"/>
      <c r="E30" s="5"/>
      <c r="F30" s="5"/>
      <c r="G30" s="5"/>
      <c r="I30" s="22"/>
      <c r="J30" s="7"/>
      <c r="K30" s="7"/>
      <c r="L30" s="7"/>
      <c r="M30" s="7"/>
      <c r="N30" s="7"/>
      <c r="O30" s="7"/>
      <c r="P30" s="7"/>
    </row>
    <row r="31" spans="1:16" ht="15" customHeight="1" x14ac:dyDescent="0.25">
      <c r="A31" s="5"/>
      <c r="B31" s="5"/>
      <c r="C31" s="5"/>
      <c r="D31" s="5"/>
      <c r="E31" s="5"/>
      <c r="F31" s="5"/>
      <c r="G31" s="5"/>
      <c r="I31" s="22"/>
      <c r="J31" s="22"/>
      <c r="K31" s="22"/>
      <c r="L31" s="39" t="s">
        <v>53</v>
      </c>
      <c r="M31" s="22"/>
      <c r="N31" s="22"/>
      <c r="O31" s="39" t="s">
        <v>53</v>
      </c>
      <c r="P31" s="39"/>
    </row>
    <row r="32" spans="1:16" ht="52.5" customHeight="1" x14ac:dyDescent="0.25">
      <c r="A32" s="5"/>
      <c r="B32" s="5"/>
      <c r="C32" s="5"/>
      <c r="D32" s="5"/>
      <c r="E32" s="5"/>
      <c r="F32" s="5"/>
      <c r="G32" s="5"/>
      <c r="I32" s="22"/>
      <c r="J32" s="120" t="s">
        <v>52</v>
      </c>
      <c r="K32" s="120"/>
      <c r="L32" s="38" t="s">
        <v>115</v>
      </c>
      <c r="M32" s="120" t="s">
        <v>56</v>
      </c>
      <c r="N32" s="120"/>
      <c r="O32" s="38" t="s">
        <v>66</v>
      </c>
      <c r="P32" s="40"/>
    </row>
    <row r="33" spans="1:16" ht="52.5" customHeight="1" x14ac:dyDescent="0.25">
      <c r="A33" s="5"/>
      <c r="B33" s="5"/>
      <c r="C33" s="5"/>
      <c r="D33" s="5"/>
      <c r="E33" s="5"/>
      <c r="F33" s="5"/>
      <c r="G33" s="5"/>
      <c r="I33" s="22"/>
      <c r="J33" s="35"/>
      <c r="K33" s="35"/>
      <c r="L33" s="38" t="s">
        <v>54</v>
      </c>
      <c r="M33" s="120"/>
      <c r="N33" s="120"/>
      <c r="O33" s="38" t="s">
        <v>67</v>
      </c>
      <c r="P33" s="41"/>
    </row>
    <row r="34" spans="1:16" ht="52.5" customHeight="1" x14ac:dyDescent="0.25">
      <c r="A34" s="5"/>
      <c r="B34" s="5"/>
      <c r="C34" s="5"/>
      <c r="D34" s="5"/>
      <c r="E34" s="5"/>
      <c r="F34" s="5"/>
      <c r="G34" s="5"/>
      <c r="I34" s="22"/>
      <c r="J34" s="22"/>
      <c r="K34" s="22"/>
      <c r="L34" s="38" t="s">
        <v>55</v>
      </c>
      <c r="M34" s="22"/>
      <c r="N34" s="22"/>
      <c r="O34" s="38" t="s">
        <v>68</v>
      </c>
      <c r="P34" s="41"/>
    </row>
    <row r="35" spans="1:16" ht="52.5" customHeight="1" x14ac:dyDescent="0.25">
      <c r="A35" s="5"/>
      <c r="B35" s="5"/>
      <c r="C35" s="5"/>
      <c r="D35" s="5"/>
      <c r="E35" s="5"/>
      <c r="F35" s="5"/>
      <c r="G35" s="5"/>
      <c r="I35" s="22"/>
      <c r="J35" s="22"/>
      <c r="K35" s="36"/>
      <c r="L35" s="38"/>
      <c r="M35" s="36"/>
      <c r="N35" s="22"/>
      <c r="O35" s="38"/>
      <c r="P35" s="41"/>
    </row>
    <row r="36" spans="1:16" ht="52.5" customHeight="1" x14ac:dyDescent="0.25">
      <c r="A36" s="5"/>
      <c r="B36" s="5"/>
      <c r="C36" s="5"/>
      <c r="D36" s="5"/>
      <c r="E36" s="5"/>
      <c r="F36" s="5"/>
      <c r="G36" s="5"/>
      <c r="I36" s="22"/>
      <c r="J36" s="22"/>
      <c r="K36" s="37"/>
      <c r="L36" s="38"/>
      <c r="M36" s="37"/>
      <c r="N36" s="22"/>
      <c r="O36" s="38"/>
      <c r="P36" s="41"/>
    </row>
    <row r="37" spans="1:16" ht="52.5" customHeight="1" x14ac:dyDescent="0.25">
      <c r="A37" s="5"/>
      <c r="B37" s="5"/>
      <c r="C37" s="5"/>
      <c r="D37" s="5"/>
      <c r="E37" s="5"/>
      <c r="F37" s="5"/>
      <c r="G37" s="5"/>
      <c r="I37" s="22"/>
      <c r="J37" s="22"/>
      <c r="K37" s="37"/>
      <c r="L37" s="38"/>
      <c r="M37" s="37"/>
      <c r="N37" s="22"/>
      <c r="O37" s="38"/>
      <c r="P37" s="41"/>
    </row>
    <row r="38" spans="1:16" ht="52.5" customHeight="1" x14ac:dyDescent="0.25">
      <c r="A38" s="5"/>
      <c r="B38" s="5"/>
      <c r="C38" s="5"/>
      <c r="D38" s="5"/>
      <c r="E38" s="5"/>
      <c r="F38" s="5"/>
      <c r="G38" s="5"/>
      <c r="I38" s="22"/>
      <c r="J38" s="22"/>
      <c r="K38" s="37"/>
      <c r="L38" s="38"/>
      <c r="M38" s="37"/>
      <c r="N38" s="22"/>
      <c r="O38" s="38"/>
      <c r="P38" s="41"/>
    </row>
    <row r="39" spans="1:16" ht="52.5" customHeight="1" x14ac:dyDescent="0.25">
      <c r="A39" s="5"/>
      <c r="B39" s="5"/>
      <c r="C39" s="5"/>
      <c r="D39" s="5"/>
      <c r="E39" s="5"/>
      <c r="F39" s="5"/>
      <c r="G39" s="5"/>
      <c r="I39" s="22"/>
      <c r="J39" s="22"/>
      <c r="K39" s="37"/>
      <c r="L39" s="38"/>
      <c r="M39" s="37"/>
      <c r="N39" s="22"/>
      <c r="O39" s="38"/>
      <c r="P39" s="41"/>
    </row>
    <row r="40" spans="1:16" ht="52.5" customHeight="1" x14ac:dyDescent="0.25">
      <c r="A40" s="5"/>
      <c r="B40" s="5"/>
      <c r="C40" s="5"/>
      <c r="D40" s="5"/>
      <c r="E40" s="5"/>
      <c r="F40" s="5"/>
      <c r="G40" s="5"/>
      <c r="I40" s="22"/>
      <c r="J40" s="22"/>
      <c r="K40" s="37"/>
      <c r="L40" s="38"/>
      <c r="M40" s="37"/>
      <c r="N40" s="22"/>
      <c r="O40" s="38"/>
      <c r="P40" s="41"/>
    </row>
    <row r="41" spans="1:16" ht="52.5" customHeight="1" x14ac:dyDescent="0.25">
      <c r="A41" s="5"/>
      <c r="B41" s="5"/>
      <c r="C41" s="5"/>
      <c r="D41" s="5"/>
      <c r="E41" s="5"/>
      <c r="F41" s="5"/>
      <c r="G41" s="5"/>
      <c r="I41" s="22"/>
      <c r="J41" s="22"/>
      <c r="K41" s="37"/>
      <c r="L41" s="38"/>
      <c r="M41" s="37"/>
      <c r="N41" s="22"/>
      <c r="O41" s="38"/>
      <c r="P41" s="41"/>
    </row>
    <row r="42" spans="1:16" ht="52.5" customHeight="1" x14ac:dyDescent="0.25">
      <c r="A42" s="5"/>
      <c r="B42" s="5"/>
      <c r="C42" s="5"/>
      <c r="D42" s="5"/>
      <c r="E42" s="5"/>
      <c r="F42" s="5"/>
      <c r="G42" s="5"/>
      <c r="I42" s="22"/>
      <c r="J42" s="22"/>
      <c r="K42" s="37"/>
      <c r="L42" s="38"/>
      <c r="M42" s="37"/>
      <c r="N42" s="22"/>
      <c r="O42" s="38"/>
      <c r="P42" s="41"/>
    </row>
    <row r="43" spans="1:16" ht="52.5" customHeight="1" x14ac:dyDescent="0.25">
      <c r="A43" s="5"/>
      <c r="B43" s="5"/>
      <c r="C43" s="5"/>
      <c r="D43" s="5"/>
      <c r="E43" s="5"/>
      <c r="F43" s="5"/>
      <c r="G43" s="5"/>
      <c r="I43" s="22"/>
      <c r="J43" s="22"/>
      <c r="K43" s="37"/>
      <c r="L43" s="38"/>
      <c r="M43" s="37"/>
      <c r="N43" s="22"/>
      <c r="O43" s="38"/>
      <c r="P43" s="41"/>
    </row>
    <row r="44" spans="1:16" ht="52.5" customHeight="1" x14ac:dyDescent="0.25">
      <c r="A44" s="5"/>
      <c r="B44" s="5"/>
      <c r="C44" s="5"/>
      <c r="D44" s="5"/>
      <c r="E44" s="5"/>
      <c r="F44" s="5"/>
      <c r="G44" s="5"/>
      <c r="I44" s="22"/>
      <c r="J44" s="22"/>
      <c r="K44" s="37"/>
      <c r="L44" s="38"/>
      <c r="M44" s="37"/>
      <c r="N44" s="22"/>
      <c r="O44" s="38"/>
      <c r="P44" s="41"/>
    </row>
    <row r="45" spans="1:16" ht="52.5" customHeight="1" x14ac:dyDescent="0.25">
      <c r="A45" s="5"/>
      <c r="B45" s="5"/>
      <c r="C45" s="5"/>
      <c r="D45" s="5"/>
      <c r="E45" s="5"/>
      <c r="F45" s="5"/>
      <c r="G45" s="5"/>
      <c r="I45" s="22"/>
      <c r="J45" s="22"/>
      <c r="K45" s="37"/>
      <c r="L45" s="38"/>
      <c r="M45" s="37"/>
      <c r="N45" s="22"/>
      <c r="O45" s="38"/>
      <c r="P45" s="41"/>
    </row>
    <row r="46" spans="1:16" ht="52.5" customHeight="1" x14ac:dyDescent="0.25">
      <c r="A46" s="5"/>
      <c r="B46" s="5"/>
      <c r="C46" s="5"/>
      <c r="D46" s="5"/>
      <c r="E46" s="5"/>
      <c r="F46" s="5"/>
      <c r="G46" s="5"/>
      <c r="I46" s="22"/>
      <c r="J46" s="22"/>
      <c r="K46" s="37"/>
      <c r="L46" s="38"/>
      <c r="M46" s="37"/>
      <c r="N46" s="22"/>
      <c r="O46" s="38"/>
      <c r="P46" s="41"/>
    </row>
    <row r="47" spans="1:16" ht="52.5" customHeight="1" x14ac:dyDescent="0.25">
      <c r="A47" s="5"/>
      <c r="B47" s="5"/>
      <c r="C47" s="5"/>
      <c r="D47" s="5"/>
      <c r="E47" s="5"/>
      <c r="F47" s="5"/>
      <c r="G47" s="5"/>
      <c r="I47" s="22"/>
      <c r="J47" s="22"/>
      <c r="K47" s="37"/>
      <c r="L47" s="38"/>
      <c r="M47" s="37"/>
      <c r="N47" s="22"/>
      <c r="O47" s="38"/>
      <c r="P47" s="41"/>
    </row>
    <row r="48" spans="1:16" ht="37.5" customHeight="1" x14ac:dyDescent="0.25">
      <c r="A48" s="6"/>
      <c r="I48" s="22"/>
      <c r="J48" s="22"/>
      <c r="K48" s="37"/>
      <c r="L48" s="37"/>
      <c r="M48" s="37"/>
      <c r="N48" s="22"/>
      <c r="O48" s="22"/>
      <c r="P48" s="22"/>
    </row>
    <row r="49" spans="1:1" x14ac:dyDescent="0.25">
      <c r="A49" s="6"/>
    </row>
    <row r="50" spans="1:1" x14ac:dyDescent="0.25">
      <c r="A50" s="6"/>
    </row>
    <row r="51" spans="1:1" x14ac:dyDescent="0.25">
      <c r="A51" s="6"/>
    </row>
    <row r="52" spans="1:1" x14ac:dyDescent="0.25">
      <c r="A52" s="6"/>
    </row>
    <row r="53" spans="1:1" x14ac:dyDescent="0.25">
      <c r="A53" s="6"/>
    </row>
    <row r="54" spans="1:1" x14ac:dyDescent="0.25">
      <c r="A54" s="6"/>
    </row>
  </sheetData>
  <mergeCells count="22">
    <mergeCell ref="M8:N9"/>
    <mergeCell ref="M32:N33"/>
    <mergeCell ref="O8:O9"/>
    <mergeCell ref="I3:P4"/>
    <mergeCell ref="C6:F6"/>
    <mergeCell ref="C8:F8"/>
    <mergeCell ref="J28:K29"/>
    <mergeCell ref="J8:K9"/>
    <mergeCell ref="J16:K17"/>
    <mergeCell ref="J20:K21"/>
    <mergeCell ref="J24:K25"/>
    <mergeCell ref="J12:K13"/>
    <mergeCell ref="M12:N13"/>
    <mergeCell ref="J32:K32"/>
    <mergeCell ref="B5:G5"/>
    <mergeCell ref="B7:G7"/>
    <mergeCell ref="L8:L9"/>
    <mergeCell ref="L16:L17"/>
    <mergeCell ref="L20:L21"/>
    <mergeCell ref="L24:L25"/>
    <mergeCell ref="L28:L29"/>
    <mergeCell ref="L12:L13"/>
  </mergeCells>
  <dataValidations count="3">
    <dataValidation type="date" allowBlank="1" showInputMessage="1" showErrorMessage="1" sqref="L8" xr:uid="{00000000-0002-0000-0500-000000000000}">
      <formula1>1</formula1>
      <formula2>100000</formula2>
    </dataValidation>
    <dataValidation type="date" showInputMessage="1" showErrorMessage="1" sqref="O8" xr:uid="{00000000-0002-0000-0500-000001000000}">
      <formula1>1</formula1>
      <formula2>100000</formula2>
    </dataValidation>
    <dataValidation type="list" allowBlank="1" showInputMessage="1" showErrorMessage="1" sqref="L16:L17" xr:uid="{00000000-0002-0000-0500-000002000000}">
      <formula1>OFFSET(INDIRECT("ria_authors[authors_proper_order]"),0,0,COUNTIF(INDIRECT("ria_authors[authors_proper_order]"),"&gt; "),1)</formula1>
    </dataValidation>
  </dataValidations>
  <pageMargins left="0.7" right="0.7" top="0.75" bottom="0.75" header="0.3" footer="0.3"/>
  <pageSetup paperSize="9" orientation="portrait" horizontalDpi="0" verticalDpi="0" r:id="rId1"/>
  <drawing r:id="rId2"/>
  <legacyDrawing r:id="rId3"/>
  <tableParts count="2">
    <tablePart r:id="rId4"/>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theme="2" tint="-0.749992370372631"/>
  </sheetPr>
  <dimension ref="A1:W55"/>
  <sheetViews>
    <sheetView showGridLines="0" showRowColHeaders="0" workbookViewId="0"/>
  </sheetViews>
  <sheetFormatPr defaultColWidth="9.140625" defaultRowHeight="15" x14ac:dyDescent="0.25"/>
  <cols>
    <col min="1" max="1" width="2.5703125" style="1" customWidth="1"/>
    <col min="2" max="7" width="4.85546875" style="1" customWidth="1"/>
    <col min="8" max="8" width="2.5703125" style="1" customWidth="1"/>
    <col min="9" max="9" width="5" style="1" customWidth="1"/>
    <col min="10" max="11" width="17" style="1" customWidth="1"/>
    <col min="12" max="16" width="9.140625" style="1" customWidth="1"/>
    <col min="17" max="18" width="5.42578125" style="1" customWidth="1"/>
    <col min="19" max="19" width="9.28515625" style="1" customWidth="1"/>
    <col min="20" max="20" width="1.28515625" style="1" customWidth="1"/>
    <col min="21" max="16384" width="9.140625" style="1"/>
  </cols>
  <sheetData>
    <row r="1" spans="1:18" ht="12.75" customHeight="1" x14ac:dyDescent="0.25">
      <c r="B1" s="2"/>
      <c r="C1" s="2"/>
    </row>
    <row r="2" spans="1:18" ht="22.5" customHeight="1" x14ac:dyDescent="0.25">
      <c r="A2" s="6"/>
      <c r="B2" s="4"/>
      <c r="C2" s="4"/>
      <c r="D2" s="4"/>
      <c r="E2" s="24"/>
      <c r="F2" s="4"/>
      <c r="G2" s="4"/>
      <c r="I2" s="8"/>
      <c r="J2" s="8"/>
      <c r="K2" s="8"/>
      <c r="L2" s="8"/>
      <c r="M2" s="8"/>
      <c r="N2" s="8"/>
      <c r="O2" s="8"/>
      <c r="P2" s="8"/>
      <c r="Q2" s="8"/>
      <c r="R2" s="8"/>
    </row>
    <row r="3" spans="1:18" ht="15" customHeight="1" x14ac:dyDescent="0.25">
      <c r="A3" s="6"/>
      <c r="B3" s="4"/>
      <c r="C3" s="4"/>
      <c r="D3" s="4"/>
      <c r="E3" s="4"/>
      <c r="F3" s="4"/>
      <c r="G3" s="4"/>
      <c r="I3" s="129" t="s">
        <v>127</v>
      </c>
      <c r="J3" s="129"/>
      <c r="K3" s="129"/>
      <c r="L3" s="129"/>
      <c r="M3" s="129"/>
      <c r="N3" s="129"/>
      <c r="O3" s="129"/>
      <c r="P3" s="129"/>
      <c r="Q3" s="129"/>
      <c r="R3" s="129"/>
    </row>
    <row r="4" spans="1:18" ht="15" customHeight="1" x14ac:dyDescent="0.25">
      <c r="A4" s="6"/>
      <c r="B4" s="4"/>
      <c r="C4" s="4"/>
      <c r="D4" s="4"/>
      <c r="E4" s="4"/>
      <c r="F4" s="4"/>
      <c r="G4" s="4"/>
      <c r="I4" s="129"/>
      <c r="J4" s="129"/>
      <c r="K4" s="129"/>
      <c r="L4" s="129"/>
      <c r="M4" s="129"/>
      <c r="N4" s="129"/>
      <c r="O4" s="129"/>
      <c r="P4" s="129"/>
      <c r="Q4" s="129"/>
      <c r="R4" s="129"/>
    </row>
    <row r="5" spans="1:18" ht="15" customHeight="1" x14ac:dyDescent="0.25">
      <c r="A5" s="6"/>
      <c r="B5" s="115" t="s">
        <v>59</v>
      </c>
      <c r="C5" s="115"/>
      <c r="D5" s="115"/>
      <c r="E5" s="115"/>
      <c r="F5" s="115"/>
      <c r="G5" s="115"/>
      <c r="I5" s="129"/>
      <c r="J5" s="129"/>
      <c r="K5" s="129"/>
      <c r="L5" s="129"/>
      <c r="M5" s="129"/>
      <c r="N5" s="129"/>
      <c r="O5" s="129"/>
      <c r="P5" s="129"/>
      <c r="Q5" s="129"/>
      <c r="R5" s="129"/>
    </row>
    <row r="6" spans="1:18" ht="15" customHeight="1" x14ac:dyDescent="0.25">
      <c r="A6" s="6"/>
      <c r="B6" s="4"/>
      <c r="C6" s="113">
        <f>internal!tmpl_version</f>
        <v>25</v>
      </c>
      <c r="D6" s="113"/>
      <c r="E6" s="113"/>
      <c r="F6" s="113"/>
      <c r="G6" s="4"/>
      <c r="I6" s="43"/>
      <c r="J6" s="43"/>
      <c r="K6" s="43"/>
      <c r="L6" s="43"/>
      <c r="M6" s="43"/>
      <c r="N6" s="43"/>
      <c r="O6" s="43"/>
      <c r="P6" s="43"/>
      <c r="Q6" s="43"/>
      <c r="R6" s="43"/>
    </row>
    <row r="7" spans="1:18" ht="15" customHeight="1" x14ac:dyDescent="0.25">
      <c r="A7" s="6"/>
      <c r="B7" s="115" t="s">
        <v>60</v>
      </c>
      <c r="C7" s="115"/>
      <c r="D7" s="115"/>
      <c r="E7" s="115"/>
      <c r="F7" s="115"/>
      <c r="G7" s="115"/>
      <c r="I7" s="43"/>
      <c r="J7" s="43"/>
      <c r="K7" s="43"/>
      <c r="L7" s="43"/>
      <c r="M7" s="43"/>
      <c r="N7" s="43"/>
      <c r="O7" s="43"/>
      <c r="P7" s="43"/>
      <c r="Q7" s="43"/>
      <c r="R7" s="43"/>
    </row>
    <row r="8" spans="1:18" ht="15" customHeight="1" x14ac:dyDescent="0.25">
      <c r="A8" s="6"/>
      <c r="B8" s="25"/>
      <c r="C8" s="114">
        <f>internal!tmpl_date</f>
        <v>43597</v>
      </c>
      <c r="D8" s="114"/>
      <c r="E8" s="114"/>
      <c r="F8" s="114"/>
      <c r="G8" s="4"/>
      <c r="I8" s="8"/>
      <c r="J8" s="8"/>
      <c r="K8" s="8"/>
      <c r="L8" s="8"/>
      <c r="M8" s="8"/>
      <c r="N8" s="8"/>
      <c r="O8" s="8"/>
      <c r="P8" s="8"/>
      <c r="Q8" s="8"/>
      <c r="R8" s="8"/>
    </row>
    <row r="9" spans="1:18" ht="15" customHeight="1" x14ac:dyDescent="0.25">
      <c r="A9" s="6"/>
      <c r="B9" s="25"/>
      <c r="C9" s="26"/>
      <c r="D9" s="4"/>
      <c r="E9" s="4"/>
      <c r="F9" s="26"/>
      <c r="G9" s="4"/>
      <c r="I9" s="8"/>
      <c r="J9" s="130" t="s">
        <v>57</v>
      </c>
      <c r="K9" s="130"/>
      <c r="L9" s="132">
        <f ca="1">WORKDAY.INTL(TODAY()-1,1,1,)</f>
        <v>45247</v>
      </c>
      <c r="M9" s="132"/>
      <c r="N9" s="132"/>
      <c r="O9" s="8"/>
      <c r="P9" s="8"/>
      <c r="Q9" s="8"/>
      <c r="R9" s="8"/>
    </row>
    <row r="10" spans="1:18" ht="15" customHeight="1" x14ac:dyDescent="0.25">
      <c r="A10" s="5"/>
      <c r="B10" s="5"/>
      <c r="C10" s="5"/>
      <c r="D10" s="5"/>
      <c r="E10" s="5"/>
      <c r="F10" s="5"/>
      <c r="G10" s="5"/>
      <c r="H10" s="5"/>
      <c r="I10" s="8"/>
      <c r="J10" s="130"/>
      <c r="K10" s="130"/>
      <c r="L10" s="132"/>
      <c r="M10" s="132"/>
      <c r="N10" s="132"/>
      <c r="O10" s="8"/>
      <c r="P10" s="8"/>
      <c r="Q10" s="8"/>
      <c r="R10" s="8"/>
    </row>
    <row r="11" spans="1:18" ht="15" customHeight="1" x14ac:dyDescent="0.25">
      <c r="A11" s="5"/>
      <c r="B11" s="5"/>
      <c r="C11" s="5"/>
      <c r="D11" s="5"/>
      <c r="E11" s="5"/>
      <c r="F11" s="5"/>
      <c r="G11" s="5"/>
      <c r="H11" s="5"/>
      <c r="I11" s="8"/>
      <c r="J11" s="42"/>
      <c r="K11" s="8"/>
      <c r="L11" s="8"/>
      <c r="M11" s="8"/>
      <c r="N11" s="8"/>
      <c r="O11" s="8"/>
      <c r="P11" s="8"/>
      <c r="Q11" s="8"/>
      <c r="R11" s="8"/>
    </row>
    <row r="12" spans="1:18" ht="15" customHeight="1" x14ac:dyDescent="0.25">
      <c r="A12" s="5"/>
      <c r="B12" s="5"/>
      <c r="C12" s="5"/>
      <c r="D12" s="5"/>
      <c r="E12" s="5"/>
      <c r="F12" s="5"/>
      <c r="G12" s="5"/>
      <c r="H12" s="5"/>
      <c r="I12" s="8"/>
      <c r="J12" s="42"/>
      <c r="K12" s="8"/>
      <c r="L12" s="8"/>
      <c r="M12" s="8"/>
      <c r="N12" s="8"/>
      <c r="O12" s="8"/>
      <c r="P12" s="8"/>
      <c r="Q12" s="8"/>
      <c r="R12" s="8"/>
    </row>
    <row r="13" spans="1:18" ht="15" customHeight="1" x14ac:dyDescent="0.25">
      <c r="A13" s="5"/>
      <c r="B13" s="5"/>
      <c r="C13" s="5"/>
      <c r="D13" s="5"/>
      <c r="E13" s="5"/>
      <c r="F13" s="5"/>
      <c r="G13" s="5"/>
      <c r="H13" s="5"/>
      <c r="I13" s="8"/>
      <c r="J13" s="130" t="s">
        <v>58</v>
      </c>
      <c r="K13" s="130"/>
      <c r="L13" s="131" t="s">
        <v>30</v>
      </c>
      <c r="M13" s="131"/>
      <c r="N13" s="131"/>
      <c r="O13" s="131"/>
      <c r="P13" s="131"/>
      <c r="Q13" s="8"/>
      <c r="R13" s="8"/>
    </row>
    <row r="14" spans="1:18" ht="15" customHeight="1" x14ac:dyDescent="0.25">
      <c r="A14" s="5"/>
      <c r="B14" s="5"/>
      <c r="C14" s="5"/>
      <c r="D14" s="5"/>
      <c r="E14" s="5"/>
      <c r="F14" s="5"/>
      <c r="G14" s="5"/>
      <c r="H14" s="5"/>
      <c r="I14" s="8"/>
      <c r="J14" s="130"/>
      <c r="K14" s="130"/>
      <c r="L14" s="131"/>
      <c r="M14" s="131"/>
      <c r="N14" s="131"/>
      <c r="O14" s="131"/>
      <c r="P14" s="131"/>
      <c r="Q14" s="8"/>
      <c r="R14" s="8"/>
    </row>
    <row r="15" spans="1:18" ht="15" customHeight="1" x14ac:dyDescent="0.25">
      <c r="A15" s="5"/>
      <c r="B15" s="5"/>
      <c r="C15" s="5"/>
      <c r="D15" s="5"/>
      <c r="E15" s="5"/>
      <c r="F15" s="5"/>
      <c r="G15" s="5"/>
      <c r="H15" s="5"/>
      <c r="I15" s="8"/>
      <c r="J15" s="8"/>
      <c r="K15" s="8"/>
      <c r="L15" s="8"/>
      <c r="M15" s="8"/>
      <c r="N15" s="8"/>
      <c r="O15" s="8"/>
      <c r="P15" s="8"/>
      <c r="Q15" s="8"/>
      <c r="R15" s="8"/>
    </row>
    <row r="16" spans="1:18" ht="15" customHeight="1" x14ac:dyDescent="0.25">
      <c r="A16" s="5"/>
      <c r="B16" s="5"/>
      <c r="C16" s="5"/>
      <c r="D16" s="5"/>
      <c r="E16" s="5"/>
      <c r="F16" s="5"/>
      <c r="G16" s="5"/>
      <c r="H16" s="5"/>
      <c r="I16" s="8"/>
      <c r="J16" s="8"/>
      <c r="K16" s="8"/>
      <c r="L16" s="8"/>
      <c r="M16" s="8"/>
      <c r="N16" s="8"/>
      <c r="O16" s="8"/>
      <c r="P16" s="8"/>
      <c r="Q16" s="8"/>
      <c r="R16" s="8"/>
    </row>
    <row r="17" spans="1:23" ht="15" customHeight="1" x14ac:dyDescent="0.25">
      <c r="A17" s="5"/>
      <c r="B17" s="5"/>
      <c r="C17" s="5"/>
      <c r="D17" s="5"/>
      <c r="E17" s="5"/>
      <c r="F17" s="5"/>
      <c r="G17" s="5"/>
      <c r="H17" s="5"/>
      <c r="I17" s="8"/>
      <c r="J17" s="8"/>
      <c r="K17" s="8"/>
      <c r="L17" s="8"/>
      <c r="M17" s="8"/>
      <c r="N17" s="8"/>
      <c r="O17" s="8"/>
      <c r="P17" s="8"/>
      <c r="Q17" s="8"/>
      <c r="R17" s="8"/>
    </row>
    <row r="18" spans="1:23" ht="15" customHeight="1" x14ac:dyDescent="0.25">
      <c r="A18" s="5"/>
      <c r="B18" s="5"/>
      <c r="C18" s="5"/>
      <c r="D18" s="5"/>
      <c r="E18" s="5"/>
      <c r="F18" s="5"/>
      <c r="G18" s="5"/>
      <c r="H18" s="5"/>
      <c r="I18" s="8"/>
      <c r="J18" s="8"/>
      <c r="K18" s="8"/>
      <c r="L18" s="8"/>
      <c r="M18" s="8"/>
      <c r="N18" s="8"/>
      <c r="O18" s="8"/>
      <c r="P18" s="8"/>
      <c r="Q18" s="8"/>
      <c r="R18" s="8"/>
    </row>
    <row r="19" spans="1:23" ht="15" customHeight="1" x14ac:dyDescent="0.25">
      <c r="A19" s="5"/>
      <c r="B19" s="5"/>
      <c r="C19" s="5"/>
      <c r="D19" s="5"/>
      <c r="E19" s="5"/>
      <c r="F19" s="5"/>
      <c r="G19" s="5"/>
      <c r="H19" s="5"/>
      <c r="I19" s="8"/>
      <c r="J19" s="8"/>
      <c r="K19" s="8"/>
      <c r="L19" s="8"/>
      <c r="M19" s="8"/>
      <c r="N19" s="8"/>
      <c r="O19" s="8"/>
      <c r="P19" s="8"/>
      <c r="Q19" s="8"/>
      <c r="R19" s="8"/>
    </row>
    <row r="20" spans="1:23" ht="15" customHeight="1" x14ac:dyDescent="0.25">
      <c r="A20" s="5"/>
      <c r="B20" s="5"/>
      <c r="C20" s="5"/>
      <c r="D20" s="5"/>
      <c r="E20" s="5"/>
      <c r="F20" s="5"/>
      <c r="G20" s="5"/>
      <c r="H20" s="5"/>
      <c r="I20" s="8"/>
      <c r="J20" s="8"/>
      <c r="K20" s="8"/>
      <c r="L20" s="8"/>
      <c r="M20" s="8"/>
      <c r="N20" s="8"/>
      <c r="O20" s="8"/>
      <c r="P20" s="8"/>
      <c r="Q20" s="8"/>
      <c r="R20" s="8"/>
    </row>
    <row r="21" spans="1:23" ht="15" customHeight="1" x14ac:dyDescent="0.25">
      <c r="A21" s="5"/>
      <c r="B21" s="5"/>
      <c r="C21" s="5"/>
      <c r="D21" s="5"/>
      <c r="E21" s="5"/>
      <c r="F21" s="5"/>
      <c r="G21" s="5"/>
      <c r="H21" s="5"/>
      <c r="I21" s="8"/>
      <c r="J21" s="8"/>
      <c r="K21" s="8"/>
      <c r="L21" s="8"/>
      <c r="M21" s="8"/>
      <c r="N21" s="8"/>
      <c r="O21" s="8"/>
      <c r="P21" s="8"/>
      <c r="Q21" s="8"/>
      <c r="R21" s="8"/>
    </row>
    <row r="22" spans="1:23" ht="15" customHeight="1" x14ac:dyDescent="0.25">
      <c r="A22" s="5"/>
      <c r="B22" s="5"/>
      <c r="C22" s="5"/>
      <c r="D22" s="5"/>
      <c r="E22" s="5"/>
      <c r="F22" s="5"/>
      <c r="G22" s="5"/>
      <c r="I22" s="8"/>
      <c r="J22" s="8"/>
      <c r="K22" s="8"/>
      <c r="L22" s="8"/>
      <c r="M22" s="8"/>
      <c r="N22" s="8"/>
      <c r="O22" s="8"/>
      <c r="P22" s="8"/>
      <c r="Q22" s="8"/>
      <c r="R22" s="8"/>
    </row>
    <row r="23" spans="1:23" ht="15" customHeight="1" x14ac:dyDescent="0.25">
      <c r="A23" s="5"/>
      <c r="B23" s="5"/>
      <c r="C23" s="5"/>
      <c r="D23" s="5"/>
      <c r="E23" s="5"/>
      <c r="F23" s="5"/>
    </row>
    <row r="24" spans="1:23" ht="15" customHeight="1" x14ac:dyDescent="0.25">
      <c r="A24" s="5"/>
      <c r="B24" s="5"/>
      <c r="C24" s="5"/>
      <c r="D24" s="5"/>
      <c r="E24" s="5"/>
      <c r="F24" s="5"/>
      <c r="G24" s="5"/>
    </row>
    <row r="25" spans="1:23" ht="15" customHeight="1" x14ac:dyDescent="0.25">
      <c r="A25" s="5"/>
      <c r="B25" s="5"/>
      <c r="C25" s="5"/>
      <c r="D25" s="5"/>
      <c r="E25" s="5"/>
      <c r="F25" s="5"/>
      <c r="G25" s="5"/>
    </row>
    <row r="26" spans="1:23" ht="15" customHeight="1" x14ac:dyDescent="0.25">
      <c r="A26" s="5"/>
      <c r="B26" s="5"/>
      <c r="C26" s="5"/>
      <c r="D26" s="5"/>
      <c r="E26" s="5"/>
      <c r="F26" s="5"/>
      <c r="G26" s="5"/>
      <c r="W26" s="5"/>
    </row>
    <row r="27" spans="1:23" ht="15" customHeight="1" x14ac:dyDescent="0.25">
      <c r="A27" s="5"/>
      <c r="B27" s="5"/>
      <c r="C27" s="5"/>
      <c r="D27" s="5"/>
      <c r="E27" s="5"/>
      <c r="F27" s="5"/>
      <c r="G27" s="5"/>
    </row>
    <row r="28" spans="1:23" ht="15" customHeight="1" x14ac:dyDescent="0.25">
      <c r="A28" s="5"/>
      <c r="B28" s="5"/>
      <c r="C28" s="5"/>
      <c r="D28" s="5"/>
      <c r="E28" s="5"/>
      <c r="F28" s="5"/>
      <c r="G28" s="5"/>
    </row>
    <row r="29" spans="1:23" ht="15" customHeight="1" x14ac:dyDescent="0.25">
      <c r="A29" s="5"/>
      <c r="B29" s="5"/>
      <c r="C29" s="5"/>
      <c r="D29" s="5"/>
      <c r="E29" s="5"/>
      <c r="F29" s="5"/>
      <c r="G29" s="5"/>
    </row>
    <row r="30" spans="1:23" ht="15" customHeight="1" x14ac:dyDescent="0.25">
      <c r="A30" s="5"/>
      <c r="B30" s="5"/>
      <c r="C30" s="5"/>
      <c r="D30" s="5"/>
      <c r="E30" s="5"/>
      <c r="F30" s="5"/>
      <c r="G30" s="5"/>
    </row>
    <row r="31" spans="1:23" ht="15" customHeight="1" x14ac:dyDescent="0.25">
      <c r="A31" s="5"/>
      <c r="B31" s="5"/>
      <c r="C31" s="5"/>
      <c r="D31" s="5"/>
      <c r="E31" s="5"/>
      <c r="F31" s="5"/>
      <c r="G31" s="5"/>
    </row>
    <row r="32" spans="1:23" ht="15" customHeight="1" x14ac:dyDescent="0.25">
      <c r="A32" s="5"/>
      <c r="B32" s="5"/>
      <c r="C32" s="5"/>
      <c r="D32" s="5"/>
      <c r="E32" s="5"/>
      <c r="F32" s="5"/>
      <c r="G32" s="5"/>
    </row>
    <row r="33" spans="1:7" ht="15" customHeight="1" x14ac:dyDescent="0.25">
      <c r="A33" s="5"/>
      <c r="B33" s="5"/>
      <c r="C33" s="5"/>
      <c r="D33" s="5"/>
      <c r="E33" s="5"/>
      <c r="F33" s="5"/>
      <c r="G33" s="5"/>
    </row>
    <row r="34" spans="1:7" x14ac:dyDescent="0.25">
      <c r="A34" s="5"/>
      <c r="B34" s="5"/>
      <c r="C34" s="5"/>
      <c r="D34" s="5"/>
      <c r="E34" s="5"/>
      <c r="F34" s="5"/>
      <c r="G34" s="5"/>
    </row>
    <row r="35" spans="1:7" x14ac:dyDescent="0.25">
      <c r="A35" s="5"/>
      <c r="B35" s="5"/>
      <c r="C35" s="5"/>
      <c r="D35" s="5"/>
      <c r="E35" s="5"/>
      <c r="F35" s="5"/>
      <c r="G35" s="5"/>
    </row>
    <row r="36" spans="1:7" x14ac:dyDescent="0.25">
      <c r="A36" s="5"/>
      <c r="B36" s="5"/>
      <c r="C36" s="5"/>
      <c r="D36" s="5"/>
      <c r="E36" s="5"/>
      <c r="F36" s="5"/>
      <c r="G36" s="5"/>
    </row>
    <row r="37" spans="1:7" x14ac:dyDescent="0.25">
      <c r="A37" s="5"/>
      <c r="B37" s="5"/>
      <c r="C37" s="5"/>
      <c r="D37" s="5"/>
      <c r="E37" s="5"/>
      <c r="F37" s="5"/>
      <c r="G37" s="5"/>
    </row>
    <row r="38" spans="1:7" x14ac:dyDescent="0.25">
      <c r="A38" s="5"/>
      <c r="B38" s="5"/>
      <c r="C38" s="5"/>
      <c r="D38" s="5"/>
      <c r="E38" s="5"/>
      <c r="F38" s="5"/>
      <c r="G38" s="5"/>
    </row>
    <row r="39" spans="1:7" x14ac:dyDescent="0.25">
      <c r="A39" s="5"/>
      <c r="B39" s="5"/>
      <c r="C39" s="5"/>
      <c r="D39" s="5"/>
      <c r="E39" s="5"/>
      <c r="F39" s="5"/>
      <c r="G39" s="5"/>
    </row>
    <row r="40" spans="1:7" x14ac:dyDescent="0.25">
      <c r="A40" s="5"/>
      <c r="B40" s="5"/>
      <c r="C40" s="5"/>
      <c r="D40" s="5"/>
      <c r="E40" s="5"/>
      <c r="F40" s="5"/>
      <c r="G40" s="5"/>
    </row>
    <row r="41" spans="1:7" x14ac:dyDescent="0.25">
      <c r="A41" s="5"/>
      <c r="B41" s="5"/>
      <c r="C41" s="5"/>
      <c r="D41" s="5"/>
      <c r="E41" s="5"/>
      <c r="F41" s="5"/>
      <c r="G41" s="5"/>
    </row>
    <row r="42" spans="1:7" x14ac:dyDescent="0.25">
      <c r="A42" s="5"/>
      <c r="B42" s="5"/>
      <c r="C42" s="5"/>
      <c r="D42" s="5"/>
      <c r="E42" s="5"/>
      <c r="F42" s="5"/>
      <c r="G42" s="5"/>
    </row>
    <row r="43" spans="1:7" x14ac:dyDescent="0.25">
      <c r="A43" s="5"/>
      <c r="B43" s="5"/>
      <c r="C43" s="5"/>
      <c r="D43" s="5"/>
      <c r="E43" s="5"/>
      <c r="F43" s="5"/>
      <c r="G43" s="5"/>
    </row>
    <row r="44" spans="1:7" x14ac:dyDescent="0.25">
      <c r="A44" s="5"/>
      <c r="B44" s="5"/>
      <c r="C44" s="5"/>
      <c r="D44" s="5"/>
      <c r="E44" s="5"/>
      <c r="F44" s="5"/>
      <c r="G44" s="5"/>
    </row>
    <row r="45" spans="1:7" x14ac:dyDescent="0.25">
      <c r="A45" s="5"/>
      <c r="B45" s="5"/>
      <c r="C45" s="5"/>
      <c r="D45" s="5"/>
      <c r="E45" s="5"/>
      <c r="F45" s="5"/>
      <c r="G45" s="5"/>
    </row>
    <row r="46" spans="1:7" x14ac:dyDescent="0.25">
      <c r="A46" s="5"/>
      <c r="B46" s="5"/>
      <c r="C46" s="5"/>
      <c r="D46" s="5"/>
      <c r="E46" s="5"/>
      <c r="F46" s="5"/>
      <c r="G46" s="5"/>
    </row>
    <row r="47" spans="1:7" x14ac:dyDescent="0.25">
      <c r="A47" s="5"/>
      <c r="B47" s="5"/>
      <c r="C47" s="5"/>
      <c r="D47" s="5"/>
      <c r="E47" s="5"/>
      <c r="F47" s="5"/>
      <c r="G47" s="5"/>
    </row>
    <row r="48" spans="1:7" x14ac:dyDescent="0.25">
      <c r="A48" s="6"/>
    </row>
    <row r="49" spans="1:1" x14ac:dyDescent="0.25">
      <c r="A49" s="6"/>
    </row>
    <row r="50" spans="1:1" x14ac:dyDescent="0.25">
      <c r="A50" s="6"/>
    </row>
    <row r="51" spans="1:1" x14ac:dyDescent="0.25">
      <c r="A51" s="6"/>
    </row>
    <row r="52" spans="1:1" x14ac:dyDescent="0.25">
      <c r="A52" s="6"/>
    </row>
    <row r="53" spans="1:1" x14ac:dyDescent="0.25">
      <c r="A53" s="6"/>
    </row>
    <row r="54" spans="1:1" x14ac:dyDescent="0.25">
      <c r="A54" s="6"/>
    </row>
    <row r="55" spans="1:1" ht="7.5" customHeight="1" x14ac:dyDescent="0.25"/>
  </sheetData>
  <mergeCells count="9">
    <mergeCell ref="B5:G5"/>
    <mergeCell ref="I3:R5"/>
    <mergeCell ref="J13:K14"/>
    <mergeCell ref="L13:P14"/>
    <mergeCell ref="J9:K10"/>
    <mergeCell ref="L9:N10"/>
    <mergeCell ref="C6:F6"/>
    <mergeCell ref="C8:F8"/>
    <mergeCell ref="B7:G7"/>
  </mergeCells>
  <dataValidations count="2">
    <dataValidation type="date" allowBlank="1" showInputMessage="1" showErrorMessage="1" sqref="L9:N10" xr:uid="{00000000-0002-0000-0600-000000000000}">
      <formula1>1</formula1>
      <formula2>100000</formula2>
    </dataValidation>
    <dataValidation type="list" allowBlank="1" showInputMessage="1" showErrorMessage="1" sqref="L13:P14" xr:uid="{00000000-0002-0000-0600-000001000000}">
      <formula1>OFFSET(INDIRECT("ria_authors[authors_proper_order]"),0,0,COUNTIF(INDIRECT("ria_authors[authors_proper_order]"),"&gt; "),1)</formula1>
    </dataValidation>
  </dataValidations>
  <pageMargins left="0.7" right="0.7" top="0.75" bottom="0.75" header="0.3" footer="0.3"/>
  <pageSetup paperSize="9" orientation="portrait" horizontalDpi="0" verticalDpi="0"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2" tint="-0.249977111117893"/>
    <pageSetUpPr fitToPage="1"/>
  </sheetPr>
  <dimension ref="A1:S59"/>
  <sheetViews>
    <sheetView showGridLines="0" showRowColHeaders="0" zoomScaleNormal="100" workbookViewId="0"/>
  </sheetViews>
  <sheetFormatPr defaultColWidth="9.140625" defaultRowHeight="15" x14ac:dyDescent="0.25"/>
  <cols>
    <col min="1" max="1" width="2.5703125" style="1" customWidth="1"/>
    <col min="2" max="7" width="4.85546875" style="1" customWidth="1"/>
    <col min="8" max="9" width="2.5703125" style="1" customWidth="1"/>
    <col min="10" max="10" width="9.140625" style="1" customWidth="1"/>
    <col min="11" max="13" width="11.140625" style="1" customWidth="1"/>
    <col min="14" max="14" width="15.85546875" style="1" customWidth="1"/>
    <col min="15" max="16" width="8" style="1" customWidth="1"/>
    <col min="17" max="17" width="20.5703125" style="1" customWidth="1"/>
    <col min="18" max="18" width="9.140625" style="1" customWidth="1"/>
    <col min="19" max="19" width="9.28515625" style="1" customWidth="1"/>
    <col min="20" max="20" width="1.28515625" style="1" customWidth="1"/>
    <col min="21" max="16384" width="9.140625" style="1"/>
  </cols>
  <sheetData>
    <row r="1" spans="1:18" ht="12.75" customHeight="1" x14ac:dyDescent="0.25">
      <c r="B1" s="2"/>
      <c r="C1" s="2"/>
    </row>
    <row r="2" spans="1:18" ht="22.5" customHeight="1" x14ac:dyDescent="0.25">
      <c r="A2" s="6"/>
      <c r="B2" s="4"/>
      <c r="C2" s="4"/>
      <c r="D2" s="4"/>
      <c r="E2" s="24"/>
      <c r="F2" s="4"/>
      <c r="G2" s="4"/>
      <c r="I2" s="8"/>
      <c r="J2" s="8"/>
      <c r="K2" s="8"/>
      <c r="L2" s="8"/>
      <c r="M2" s="8"/>
      <c r="N2" s="8"/>
      <c r="O2" s="8"/>
      <c r="P2" s="8"/>
      <c r="Q2" s="8"/>
      <c r="R2" s="8"/>
    </row>
    <row r="3" spans="1:18" ht="15" customHeight="1" x14ac:dyDescent="0.25">
      <c r="A3" s="6"/>
      <c r="B3" s="4"/>
      <c r="C3" s="4"/>
      <c r="D3" s="4"/>
      <c r="E3" s="4"/>
      <c r="F3" s="4"/>
      <c r="G3" s="4"/>
      <c r="I3" s="8"/>
      <c r="J3" s="111" t="s">
        <v>70</v>
      </c>
      <c r="K3" s="111"/>
      <c r="L3" s="111"/>
      <c r="M3" s="111"/>
      <c r="N3" s="111"/>
      <c r="O3" s="111"/>
      <c r="P3" s="111"/>
      <c r="Q3" s="111"/>
      <c r="R3" s="111"/>
    </row>
    <row r="4" spans="1:18" ht="15" customHeight="1" x14ac:dyDescent="0.25">
      <c r="A4" s="6"/>
      <c r="B4" s="4"/>
      <c r="C4" s="4"/>
      <c r="D4" s="4"/>
      <c r="E4" s="4"/>
      <c r="F4" s="4"/>
      <c r="G4" s="4"/>
      <c r="I4" s="8"/>
      <c r="J4" s="111"/>
      <c r="K4" s="111"/>
      <c r="L4" s="111"/>
      <c r="M4" s="111"/>
      <c r="N4" s="111"/>
      <c r="O4" s="111"/>
      <c r="P4" s="111"/>
      <c r="Q4" s="111"/>
      <c r="R4" s="111"/>
    </row>
    <row r="5" spans="1:18" ht="15" customHeight="1" x14ac:dyDescent="0.25">
      <c r="A5" s="6"/>
      <c r="B5" s="115" t="s">
        <v>59</v>
      </c>
      <c r="C5" s="115"/>
      <c r="D5" s="115"/>
      <c r="E5" s="115"/>
      <c r="F5" s="115"/>
      <c r="G5" s="115"/>
      <c r="I5" s="8"/>
      <c r="J5" s="34"/>
      <c r="K5" s="34"/>
      <c r="L5" s="34"/>
      <c r="M5" s="34"/>
      <c r="N5" s="34"/>
      <c r="O5" s="34"/>
      <c r="P5" s="34"/>
      <c r="Q5" s="34"/>
      <c r="R5" s="34"/>
    </row>
    <row r="6" spans="1:18" ht="15" customHeight="1" x14ac:dyDescent="0.25">
      <c r="A6" s="6"/>
      <c r="B6" s="4"/>
      <c r="C6" s="113">
        <f>internal!tmpl_version</f>
        <v>25</v>
      </c>
      <c r="D6" s="113"/>
      <c r="E6" s="113"/>
      <c r="F6" s="113"/>
      <c r="G6" s="4"/>
      <c r="I6" s="8"/>
      <c r="J6" s="34"/>
      <c r="K6" s="34"/>
      <c r="L6" s="34"/>
      <c r="M6" s="34"/>
      <c r="N6" s="34"/>
      <c r="O6" s="34"/>
      <c r="P6" s="34"/>
      <c r="Q6" s="34"/>
      <c r="R6" s="34"/>
    </row>
    <row r="7" spans="1:18" s="12" customFormat="1" ht="15" customHeight="1" x14ac:dyDescent="0.25">
      <c r="A7" s="6"/>
      <c r="B7" s="115" t="s">
        <v>60</v>
      </c>
      <c r="C7" s="115"/>
      <c r="D7" s="115"/>
      <c r="E7" s="115"/>
      <c r="F7" s="115"/>
      <c r="G7" s="115"/>
      <c r="H7" s="1"/>
      <c r="I7" s="8"/>
      <c r="J7" s="147" t="s">
        <v>71</v>
      </c>
      <c r="K7" s="147"/>
      <c r="L7" s="147"/>
      <c r="M7" s="10"/>
      <c r="N7" s="10"/>
      <c r="O7" s="8"/>
      <c r="P7" s="8"/>
      <c r="Q7" s="8"/>
      <c r="R7" s="8"/>
    </row>
    <row r="8" spans="1:18" ht="15" customHeight="1" x14ac:dyDescent="0.25">
      <c r="A8" s="6"/>
      <c r="B8" s="25"/>
      <c r="C8" s="114">
        <f>internal!tmpl_date</f>
        <v>43597</v>
      </c>
      <c r="D8" s="114"/>
      <c r="E8" s="114"/>
      <c r="F8" s="114"/>
      <c r="G8" s="4"/>
      <c r="I8" s="8"/>
      <c r="J8" s="147"/>
      <c r="K8" s="147"/>
      <c r="L8" s="147"/>
      <c r="M8" s="10"/>
      <c r="N8" s="10"/>
      <c r="O8" s="8"/>
      <c r="P8" s="8"/>
      <c r="Q8" s="8"/>
      <c r="R8" s="8"/>
    </row>
    <row r="9" spans="1:18" ht="15" customHeight="1" x14ac:dyDescent="0.25">
      <c r="A9" s="6"/>
      <c r="B9" s="25"/>
      <c r="C9" s="26"/>
      <c r="D9" s="4"/>
      <c r="E9" s="4"/>
      <c r="F9" s="26"/>
      <c r="G9" s="4"/>
      <c r="I9" s="8"/>
      <c r="J9" s="64" t="s">
        <v>72</v>
      </c>
      <c r="K9" s="13"/>
      <c r="L9" s="11"/>
      <c r="M9" s="11"/>
      <c r="N9" s="11"/>
      <c r="O9" s="11"/>
      <c r="P9" s="11"/>
      <c r="Q9" s="11"/>
      <c r="R9" s="11"/>
    </row>
    <row r="10" spans="1:18" ht="15" customHeight="1" x14ac:dyDescent="0.25">
      <c r="A10" s="5"/>
      <c r="B10" s="5"/>
      <c r="C10" s="5"/>
      <c r="D10" s="5"/>
      <c r="E10" s="5"/>
      <c r="F10" s="5"/>
      <c r="G10" s="5"/>
      <c r="H10" s="5"/>
      <c r="I10" s="31"/>
      <c r="J10" s="42"/>
      <c r="K10" s="122" t="s">
        <v>133</v>
      </c>
      <c r="L10" s="122"/>
      <c r="M10" s="122"/>
      <c r="N10" s="122"/>
      <c r="O10" s="122"/>
      <c r="P10" s="122"/>
      <c r="Q10" s="122"/>
      <c r="R10" s="8"/>
    </row>
    <row r="11" spans="1:18" ht="15" customHeight="1" x14ac:dyDescent="0.25">
      <c r="A11" s="5"/>
      <c r="B11" s="5"/>
      <c r="C11" s="5"/>
      <c r="D11" s="5"/>
      <c r="E11" s="5"/>
      <c r="F11" s="5"/>
      <c r="G11" s="5"/>
      <c r="H11" s="5"/>
      <c r="I11" s="31"/>
      <c r="J11" s="57"/>
      <c r="K11" s="122"/>
      <c r="L11" s="122"/>
      <c r="M11" s="122"/>
      <c r="N11" s="122"/>
      <c r="O11" s="122"/>
      <c r="P11" s="122"/>
      <c r="Q11" s="122"/>
      <c r="R11" s="8"/>
    </row>
    <row r="12" spans="1:18" ht="15" customHeight="1" x14ac:dyDescent="0.25">
      <c r="A12" s="5"/>
      <c r="B12" s="5"/>
      <c r="C12" s="5"/>
      <c r="D12" s="5"/>
      <c r="E12" s="5"/>
      <c r="F12" s="5"/>
      <c r="G12" s="5"/>
      <c r="H12" s="5"/>
      <c r="I12" s="31"/>
      <c r="J12" s="57"/>
      <c r="K12" s="122"/>
      <c r="L12" s="122"/>
      <c r="M12" s="122"/>
      <c r="N12" s="122"/>
      <c r="O12" s="122"/>
      <c r="P12" s="122"/>
      <c r="Q12" s="122"/>
      <c r="R12" s="8"/>
    </row>
    <row r="13" spans="1:18" ht="15" customHeight="1" x14ac:dyDescent="0.25">
      <c r="A13" s="5"/>
      <c r="B13" s="5"/>
      <c r="C13" s="5"/>
      <c r="D13" s="5"/>
      <c r="E13" s="5"/>
      <c r="F13" s="5"/>
      <c r="G13" s="5"/>
      <c r="H13" s="5"/>
      <c r="I13" s="31"/>
      <c r="J13" s="8"/>
      <c r="K13" s="58"/>
      <c r="L13" s="58"/>
      <c r="M13" s="58"/>
      <c r="N13" s="58"/>
      <c r="O13" s="58"/>
      <c r="P13" s="58"/>
      <c r="Q13" s="58"/>
      <c r="R13" s="8"/>
    </row>
    <row r="14" spans="1:18" ht="15" customHeight="1" x14ac:dyDescent="0.25">
      <c r="A14" s="5"/>
      <c r="B14" s="5"/>
      <c r="C14" s="5"/>
      <c r="D14" s="5"/>
      <c r="E14" s="5"/>
      <c r="F14" s="5"/>
      <c r="G14" s="5"/>
      <c r="H14" s="5"/>
      <c r="I14" s="31"/>
      <c r="J14" s="64" t="s">
        <v>73</v>
      </c>
      <c r="K14" s="8"/>
      <c r="L14" s="8"/>
      <c r="M14" s="8"/>
      <c r="N14" s="8"/>
      <c r="O14" s="8"/>
      <c r="P14" s="8"/>
      <c r="Q14" s="8"/>
      <c r="R14" s="8"/>
    </row>
    <row r="15" spans="1:18" ht="15" customHeight="1" x14ac:dyDescent="0.25">
      <c r="A15" s="5"/>
      <c r="B15" s="5"/>
      <c r="C15" s="5"/>
      <c r="D15" s="5"/>
      <c r="E15" s="5"/>
      <c r="F15" s="5"/>
      <c r="G15" s="5"/>
      <c r="H15" s="5"/>
      <c r="I15" s="31"/>
      <c r="J15" s="8"/>
      <c r="K15" s="122" t="s">
        <v>134</v>
      </c>
      <c r="L15" s="122"/>
      <c r="M15" s="122"/>
      <c r="N15" s="122"/>
      <c r="O15" s="122"/>
      <c r="P15" s="122"/>
      <c r="Q15" s="122"/>
      <c r="R15" s="8"/>
    </row>
    <row r="16" spans="1:18" ht="15" customHeight="1" x14ac:dyDescent="0.25">
      <c r="A16" s="5"/>
      <c r="B16" s="5"/>
      <c r="C16" s="5"/>
      <c r="D16" s="5"/>
      <c r="E16" s="5"/>
      <c r="F16" s="5"/>
      <c r="G16" s="5"/>
      <c r="H16" s="5"/>
      <c r="I16" s="31"/>
      <c r="J16" s="8"/>
      <c r="K16" s="122"/>
      <c r="L16" s="122"/>
      <c r="M16" s="122"/>
      <c r="N16" s="122"/>
      <c r="O16" s="122"/>
      <c r="P16" s="122"/>
      <c r="Q16" s="122"/>
      <c r="R16" s="8"/>
    </row>
    <row r="17" spans="1:18" ht="15" customHeight="1" x14ac:dyDescent="0.25">
      <c r="A17" s="5"/>
      <c r="B17" s="5"/>
      <c r="C17" s="5"/>
      <c r="D17" s="5"/>
      <c r="E17" s="5"/>
      <c r="F17" s="5"/>
      <c r="G17" s="5"/>
      <c r="H17" s="5"/>
      <c r="I17" s="31"/>
      <c r="J17" s="8"/>
      <c r="K17" s="122"/>
      <c r="L17" s="122"/>
      <c r="M17" s="122"/>
      <c r="N17" s="122"/>
      <c r="O17" s="122"/>
      <c r="P17" s="122"/>
      <c r="Q17" s="122"/>
      <c r="R17" s="8"/>
    </row>
    <row r="18" spans="1:18" ht="15" customHeight="1" x14ac:dyDescent="0.25">
      <c r="A18" s="5"/>
      <c r="B18" s="5"/>
      <c r="C18" s="5"/>
      <c r="D18" s="5"/>
      <c r="E18" s="5"/>
      <c r="F18" s="5"/>
      <c r="G18" s="5"/>
      <c r="H18" s="5"/>
      <c r="I18" s="31"/>
      <c r="J18" s="8"/>
      <c r="K18" s="152"/>
      <c r="L18" s="152"/>
      <c r="M18" s="152"/>
      <c r="N18" s="152"/>
      <c r="O18" s="152"/>
      <c r="P18" s="152"/>
      <c r="Q18" s="152"/>
      <c r="R18" s="8"/>
    </row>
    <row r="19" spans="1:18" ht="15" customHeight="1" x14ac:dyDescent="0.25">
      <c r="A19" s="5"/>
      <c r="B19" s="5"/>
      <c r="C19" s="5"/>
      <c r="D19" s="5"/>
      <c r="E19" s="5"/>
      <c r="F19" s="5"/>
      <c r="G19" s="5"/>
      <c r="H19" s="5"/>
      <c r="I19" s="31"/>
      <c r="J19" s="147" t="s">
        <v>74</v>
      </c>
      <c r="K19" s="147"/>
      <c r="L19" s="147"/>
      <c r="M19" s="8"/>
      <c r="N19" s="8"/>
      <c r="O19" s="8"/>
      <c r="P19" s="8"/>
      <c r="Q19" s="8"/>
      <c r="R19" s="8"/>
    </row>
    <row r="20" spans="1:18" ht="15" customHeight="1" x14ac:dyDescent="0.25">
      <c r="A20" s="5"/>
      <c r="B20" s="5"/>
      <c r="C20" s="5"/>
      <c r="D20" s="5"/>
      <c r="E20" s="5"/>
      <c r="F20" s="5"/>
      <c r="G20" s="5"/>
      <c r="H20" s="5"/>
      <c r="I20" s="31"/>
      <c r="J20" s="147"/>
      <c r="K20" s="147"/>
      <c r="L20" s="147"/>
      <c r="M20" s="8"/>
      <c r="N20" s="8"/>
      <c r="O20" s="8"/>
      <c r="P20" s="8"/>
      <c r="Q20" s="8"/>
      <c r="R20" s="8"/>
    </row>
    <row r="21" spans="1:18" ht="18.75" customHeight="1" x14ac:dyDescent="0.25">
      <c r="A21" s="5"/>
      <c r="B21" s="5"/>
      <c r="C21" s="5"/>
      <c r="D21" s="5"/>
      <c r="E21" s="5"/>
      <c r="F21" s="5"/>
      <c r="G21" s="5"/>
      <c r="H21" s="5"/>
      <c r="I21" s="31"/>
      <c r="J21" s="72" t="s">
        <v>87</v>
      </c>
      <c r="K21" s="63" t="s">
        <v>75</v>
      </c>
      <c r="L21" s="8"/>
      <c r="M21" s="8"/>
      <c r="N21" s="8"/>
      <c r="O21" s="8"/>
      <c r="P21" s="8"/>
      <c r="Q21" s="8"/>
      <c r="R21" s="8"/>
    </row>
    <row r="22" spans="1:18" ht="18.75" customHeight="1" x14ac:dyDescent="0.25">
      <c r="A22" s="5"/>
      <c r="B22" s="5"/>
      <c r="C22" s="5"/>
      <c r="D22" s="5"/>
      <c r="E22" s="5"/>
      <c r="F22" s="5"/>
      <c r="G22" s="5"/>
      <c r="H22" s="5"/>
      <c r="I22" s="31"/>
      <c r="J22" s="72" t="s">
        <v>92</v>
      </c>
      <c r="K22" s="63" t="s">
        <v>76</v>
      </c>
      <c r="L22" s="8"/>
      <c r="M22" s="8"/>
      <c r="N22" s="8"/>
      <c r="O22" s="8"/>
      <c r="P22" s="8"/>
      <c r="Q22" s="8"/>
      <c r="R22" s="8"/>
    </row>
    <row r="23" spans="1:18" ht="18.75" customHeight="1" x14ac:dyDescent="0.25">
      <c r="A23" s="5"/>
      <c r="B23" s="5"/>
      <c r="C23" s="5"/>
      <c r="D23" s="5"/>
      <c r="E23" s="5"/>
      <c r="F23" s="5"/>
      <c r="G23" s="5"/>
      <c r="H23" s="5"/>
      <c r="I23" s="31"/>
      <c r="J23" s="60"/>
      <c r="K23" s="61"/>
      <c r="L23" s="8"/>
      <c r="M23" s="8"/>
      <c r="N23" s="8"/>
      <c r="O23" s="8"/>
      <c r="P23" s="8"/>
      <c r="Q23" s="8"/>
      <c r="R23" s="8"/>
    </row>
    <row r="24" spans="1:18" ht="18.75" customHeight="1" x14ac:dyDescent="0.25">
      <c r="A24" s="5"/>
      <c r="B24" s="5"/>
      <c r="C24" s="5"/>
      <c r="D24" s="5"/>
      <c r="E24" s="5"/>
      <c r="F24" s="5"/>
      <c r="G24" s="5"/>
      <c r="H24" s="5"/>
      <c r="I24" s="31"/>
      <c r="J24" s="8"/>
      <c r="K24" s="150" t="s">
        <v>77</v>
      </c>
      <c r="L24" s="151"/>
      <c r="M24" s="75" t="s">
        <v>80</v>
      </c>
      <c r="N24" s="65"/>
      <c r="O24" s="65"/>
      <c r="P24" s="65"/>
      <c r="Q24" s="66"/>
      <c r="R24" s="8"/>
    </row>
    <row r="25" spans="1:18" ht="18.75" customHeight="1" x14ac:dyDescent="0.25">
      <c r="A25" s="5"/>
      <c r="B25" s="5"/>
      <c r="C25" s="5"/>
      <c r="D25" s="5"/>
      <c r="E25" s="5"/>
      <c r="F25" s="5"/>
      <c r="G25" s="5"/>
      <c r="H25" s="5"/>
      <c r="I25" s="31"/>
      <c r="J25" s="8"/>
      <c r="K25" s="148" t="s">
        <v>78</v>
      </c>
      <c r="L25" s="149"/>
      <c r="M25" s="76" t="s">
        <v>81</v>
      </c>
      <c r="N25" s="8"/>
      <c r="O25" s="8"/>
      <c r="P25" s="8"/>
      <c r="Q25" s="67"/>
      <c r="R25" s="8"/>
    </row>
    <row r="26" spans="1:18" ht="18.75" customHeight="1" x14ac:dyDescent="0.25">
      <c r="A26" s="5"/>
      <c r="B26" s="5"/>
      <c r="C26" s="5"/>
      <c r="D26" s="5"/>
      <c r="E26" s="5"/>
      <c r="F26" s="5"/>
      <c r="G26" s="5"/>
      <c r="H26" s="5"/>
      <c r="I26" s="31"/>
      <c r="J26" s="8"/>
      <c r="K26" s="148" t="s">
        <v>79</v>
      </c>
      <c r="L26" s="149"/>
      <c r="M26" s="77" t="s">
        <v>82</v>
      </c>
      <c r="N26" s="8"/>
      <c r="O26" s="8"/>
      <c r="P26" s="8"/>
      <c r="Q26" s="67"/>
      <c r="R26" s="8"/>
    </row>
    <row r="27" spans="1:18" ht="18.75" customHeight="1" x14ac:dyDescent="0.25">
      <c r="A27" s="5"/>
      <c r="B27" s="5"/>
      <c r="C27" s="5"/>
      <c r="D27" s="5"/>
      <c r="E27" s="5"/>
      <c r="F27" s="5"/>
      <c r="G27" s="5"/>
      <c r="H27" s="5"/>
      <c r="I27" s="31"/>
      <c r="J27" s="8"/>
      <c r="K27" s="145" t="s">
        <v>83</v>
      </c>
      <c r="L27" s="146"/>
      <c r="M27" s="78" t="s">
        <v>84</v>
      </c>
      <c r="N27" s="68"/>
      <c r="O27" s="68"/>
      <c r="P27" s="68"/>
      <c r="Q27" s="69"/>
      <c r="R27" s="8"/>
    </row>
    <row r="28" spans="1:18" ht="18.75" customHeight="1" x14ac:dyDescent="0.25">
      <c r="A28" s="5"/>
      <c r="B28" s="5"/>
      <c r="C28" s="5"/>
      <c r="D28" s="5"/>
      <c r="E28" s="5"/>
      <c r="F28" s="5"/>
      <c r="G28" s="5"/>
      <c r="I28" s="31"/>
      <c r="J28" s="8"/>
      <c r="K28" s="70"/>
      <c r="L28" s="70"/>
      <c r="M28" s="62"/>
      <c r="N28" s="8"/>
      <c r="O28" s="8"/>
      <c r="P28" s="8"/>
      <c r="Q28" s="8"/>
      <c r="R28" s="8"/>
    </row>
    <row r="29" spans="1:18" ht="18.75" customHeight="1" x14ac:dyDescent="0.25">
      <c r="A29" s="5"/>
      <c r="B29" s="5"/>
      <c r="C29" s="5"/>
      <c r="D29" s="5"/>
      <c r="E29" s="5"/>
      <c r="F29" s="5"/>
      <c r="G29" s="5"/>
      <c r="I29" s="31"/>
      <c r="J29" s="72" t="s">
        <v>94</v>
      </c>
      <c r="K29" s="63" t="s">
        <v>85</v>
      </c>
      <c r="L29" s="8"/>
      <c r="M29" s="8"/>
      <c r="N29" s="8"/>
      <c r="O29" s="8"/>
      <c r="P29" s="8"/>
      <c r="Q29" s="8"/>
      <c r="R29" s="8"/>
    </row>
    <row r="30" spans="1:18" ht="18.75" customHeight="1" x14ac:dyDescent="0.25">
      <c r="A30" s="5"/>
      <c r="B30" s="5"/>
      <c r="C30" s="5"/>
      <c r="D30" s="5"/>
      <c r="E30" s="5"/>
      <c r="F30" s="5"/>
      <c r="G30" s="5"/>
      <c r="I30" s="8"/>
      <c r="J30" s="8"/>
      <c r="K30" s="90" t="s">
        <v>120</v>
      </c>
      <c r="L30" s="80" t="s">
        <v>86</v>
      </c>
      <c r="M30" s="59"/>
      <c r="N30" s="59"/>
      <c r="O30" s="59"/>
      <c r="P30" s="59"/>
      <c r="Q30" s="59"/>
      <c r="R30" s="8"/>
    </row>
    <row r="31" spans="1:18" ht="18.75" customHeight="1" x14ac:dyDescent="0.25">
      <c r="A31" s="5"/>
      <c r="B31" s="5"/>
      <c r="C31" s="5"/>
      <c r="D31" s="5"/>
      <c r="E31" s="5"/>
      <c r="F31" s="5"/>
      <c r="G31" s="5"/>
      <c r="I31" s="8"/>
      <c r="J31" s="8"/>
      <c r="K31" s="74"/>
      <c r="L31" s="71"/>
      <c r="M31" s="59"/>
      <c r="N31" s="59"/>
      <c r="O31" s="59"/>
      <c r="P31" s="59"/>
      <c r="Q31" s="59"/>
      <c r="R31" s="8"/>
    </row>
    <row r="32" spans="1:18" ht="18.75" customHeight="1" x14ac:dyDescent="0.25">
      <c r="A32" s="5"/>
      <c r="B32" s="5"/>
      <c r="C32" s="5"/>
      <c r="D32" s="5"/>
      <c r="E32" s="5"/>
      <c r="F32" s="5"/>
      <c r="G32" s="5"/>
      <c r="I32" s="8"/>
      <c r="J32" s="8"/>
      <c r="K32" s="143" t="s">
        <v>3</v>
      </c>
      <c r="L32" s="144"/>
      <c r="M32" s="144"/>
      <c r="N32" s="144"/>
      <c r="O32" s="144" t="s">
        <v>88</v>
      </c>
      <c r="P32" s="144"/>
      <c r="Q32" s="104" t="s">
        <v>126</v>
      </c>
      <c r="R32" s="8"/>
    </row>
    <row r="33" spans="1:19" ht="18.75" customHeight="1" x14ac:dyDescent="0.25">
      <c r="A33" s="5"/>
      <c r="B33" s="5"/>
      <c r="C33" s="5"/>
      <c r="D33" s="5"/>
      <c r="E33" s="5"/>
      <c r="F33" s="5"/>
      <c r="G33" s="5"/>
      <c r="I33" s="8"/>
      <c r="J33" s="8"/>
      <c r="K33" s="133" t="s">
        <v>101</v>
      </c>
      <c r="L33" s="134"/>
      <c r="M33" s="134"/>
      <c r="N33" s="134"/>
      <c r="O33" s="135" t="s">
        <v>90</v>
      </c>
      <c r="P33" s="135"/>
      <c r="Q33" s="79" t="s">
        <v>91</v>
      </c>
      <c r="R33" s="8"/>
    </row>
    <row r="34" spans="1:19" ht="18.75" customHeight="1" x14ac:dyDescent="0.25">
      <c r="A34" s="5"/>
      <c r="B34" s="5"/>
      <c r="C34" s="5"/>
      <c r="D34" s="5"/>
      <c r="E34" s="5"/>
      <c r="F34" s="5"/>
      <c r="G34" s="5"/>
      <c r="I34" s="8"/>
      <c r="J34" s="8"/>
      <c r="K34" s="133" t="s">
        <v>102</v>
      </c>
      <c r="L34" s="134"/>
      <c r="M34" s="134"/>
      <c r="N34" s="134"/>
      <c r="O34" s="135" t="s">
        <v>90</v>
      </c>
      <c r="P34" s="135"/>
      <c r="Q34" s="79" t="s">
        <v>91</v>
      </c>
      <c r="R34" s="8"/>
    </row>
    <row r="35" spans="1:19" ht="18.75" customHeight="1" x14ac:dyDescent="0.25">
      <c r="A35" s="5"/>
      <c r="B35" s="5"/>
      <c r="C35" s="5"/>
      <c r="D35" s="5"/>
      <c r="E35" s="5"/>
      <c r="F35" s="5"/>
      <c r="G35" s="5"/>
      <c r="I35" s="8"/>
      <c r="J35" s="8"/>
      <c r="K35" s="133" t="s">
        <v>103</v>
      </c>
      <c r="L35" s="134"/>
      <c r="M35" s="134"/>
      <c r="N35" s="134"/>
      <c r="O35" s="135" t="s">
        <v>104</v>
      </c>
      <c r="P35" s="135"/>
      <c r="Q35" s="79" t="s">
        <v>91</v>
      </c>
      <c r="R35" s="8"/>
    </row>
    <row r="36" spans="1:19" ht="18.75" customHeight="1" x14ac:dyDescent="0.25">
      <c r="A36" s="5"/>
      <c r="B36" s="5"/>
      <c r="C36" s="5"/>
      <c r="D36" s="5"/>
      <c r="E36" s="5"/>
      <c r="F36" s="5"/>
      <c r="G36" s="5"/>
      <c r="I36" s="8"/>
      <c r="J36" s="8"/>
      <c r="K36" s="133" t="s">
        <v>105</v>
      </c>
      <c r="L36" s="134"/>
      <c r="M36" s="134"/>
      <c r="N36" s="134"/>
      <c r="O36" s="135" t="s">
        <v>104</v>
      </c>
      <c r="P36" s="135"/>
      <c r="Q36" s="79" t="s">
        <v>91</v>
      </c>
      <c r="R36" s="8"/>
    </row>
    <row r="37" spans="1:19" ht="18.75" customHeight="1" x14ac:dyDescent="0.25">
      <c r="A37" s="5"/>
      <c r="B37" s="5"/>
      <c r="C37" s="5"/>
      <c r="D37" s="5"/>
      <c r="E37" s="5"/>
      <c r="F37" s="5"/>
      <c r="G37" s="5"/>
      <c r="I37" s="8"/>
      <c r="J37" s="8"/>
      <c r="K37" s="133" t="s">
        <v>106</v>
      </c>
      <c r="L37" s="134"/>
      <c r="M37" s="134"/>
      <c r="N37" s="134"/>
      <c r="O37" s="135" t="s">
        <v>104</v>
      </c>
      <c r="P37" s="135"/>
      <c r="Q37" s="79" t="s">
        <v>107</v>
      </c>
      <c r="R37" s="8"/>
    </row>
    <row r="38" spans="1:19" ht="18.75" customHeight="1" x14ac:dyDescent="0.25">
      <c r="A38" s="5"/>
      <c r="B38" s="5"/>
      <c r="C38" s="5"/>
      <c r="D38" s="5"/>
      <c r="E38" s="5"/>
      <c r="F38" s="5"/>
      <c r="G38" s="5"/>
      <c r="I38" s="8"/>
      <c r="J38" s="8"/>
      <c r="K38" s="133" t="s">
        <v>108</v>
      </c>
      <c r="L38" s="134"/>
      <c r="M38" s="134"/>
      <c r="N38" s="134"/>
      <c r="O38" s="135" t="s">
        <v>104</v>
      </c>
      <c r="P38" s="135"/>
      <c r="Q38" s="79" t="s">
        <v>91</v>
      </c>
      <c r="R38" s="8"/>
    </row>
    <row r="39" spans="1:19" ht="18.75" customHeight="1" x14ac:dyDescent="0.25">
      <c r="A39" s="5"/>
      <c r="B39" s="5"/>
      <c r="C39" s="5"/>
      <c r="D39" s="5"/>
      <c r="E39" s="5"/>
      <c r="F39" s="5"/>
      <c r="G39" s="5"/>
      <c r="I39" s="8"/>
      <c r="J39" s="8"/>
      <c r="K39" s="133" t="s">
        <v>109</v>
      </c>
      <c r="L39" s="134"/>
      <c r="M39" s="134"/>
      <c r="N39" s="134"/>
      <c r="O39" s="135" t="s">
        <v>104</v>
      </c>
      <c r="P39" s="135"/>
      <c r="Q39" s="79" t="s">
        <v>91</v>
      </c>
      <c r="R39" s="8"/>
    </row>
    <row r="40" spans="1:19" ht="18.75" customHeight="1" x14ac:dyDescent="0.25">
      <c r="A40" s="5"/>
      <c r="B40" s="5"/>
      <c r="C40" s="5"/>
      <c r="D40" s="5"/>
      <c r="E40" s="5"/>
      <c r="F40" s="5"/>
      <c r="G40" s="5"/>
      <c r="I40" s="8"/>
      <c r="J40" s="8"/>
      <c r="K40" s="133" t="s">
        <v>110</v>
      </c>
      <c r="L40" s="134"/>
      <c r="M40" s="134"/>
      <c r="N40" s="134"/>
      <c r="O40" s="135" t="s">
        <v>104</v>
      </c>
      <c r="P40" s="135"/>
      <c r="Q40" s="79" t="s">
        <v>91</v>
      </c>
      <c r="R40" s="8"/>
    </row>
    <row r="41" spans="1:19" ht="18.75" customHeight="1" x14ac:dyDescent="0.25">
      <c r="A41" s="5"/>
      <c r="B41" s="5"/>
      <c r="C41" s="5"/>
      <c r="D41" s="5"/>
      <c r="E41" s="5"/>
      <c r="F41" s="5"/>
      <c r="G41" s="5"/>
      <c r="I41" s="8"/>
      <c r="J41" s="106"/>
      <c r="K41" s="107"/>
      <c r="L41" s="107"/>
      <c r="M41" s="107"/>
      <c r="N41" s="107"/>
      <c r="O41" s="107"/>
      <c r="P41" s="107"/>
      <c r="Q41" s="107"/>
      <c r="R41" s="106"/>
    </row>
    <row r="42" spans="1:19" ht="18.75" customHeight="1" x14ac:dyDescent="0.25">
      <c r="A42" s="5"/>
      <c r="B42" s="5"/>
      <c r="C42" s="5"/>
      <c r="D42" s="5"/>
      <c r="E42" s="5"/>
      <c r="F42" s="5"/>
      <c r="G42" s="5"/>
      <c r="I42" s="8"/>
      <c r="J42" s="14"/>
      <c r="K42" s="90" t="s">
        <v>121</v>
      </c>
      <c r="L42" s="80" t="s">
        <v>93</v>
      </c>
      <c r="M42" s="16"/>
      <c r="N42" s="16"/>
      <c r="O42" s="17"/>
      <c r="P42" s="17"/>
      <c r="Q42" s="18"/>
      <c r="R42" s="14"/>
    </row>
    <row r="43" spans="1:19" ht="18.75" customHeight="1" x14ac:dyDescent="0.25">
      <c r="A43" s="5"/>
      <c r="B43" s="5"/>
      <c r="C43" s="5"/>
      <c r="D43" s="5"/>
      <c r="E43" s="5"/>
      <c r="F43" s="5"/>
      <c r="G43" s="5"/>
      <c r="I43" s="8"/>
      <c r="J43" s="14"/>
      <c r="K43" s="90" t="s">
        <v>122</v>
      </c>
      <c r="L43" s="80" t="s">
        <v>124</v>
      </c>
      <c r="M43" s="16"/>
      <c r="N43" s="16"/>
      <c r="O43" s="17"/>
      <c r="P43" s="17"/>
      <c r="Q43" s="18"/>
      <c r="R43" s="14"/>
    </row>
    <row r="44" spans="1:19" ht="18.75" customHeight="1" x14ac:dyDescent="0.25">
      <c r="A44" s="5"/>
      <c r="B44" s="5"/>
      <c r="C44" s="5"/>
      <c r="D44" s="5"/>
      <c r="E44" s="5"/>
      <c r="F44" s="5"/>
      <c r="G44" s="5"/>
      <c r="I44" s="8"/>
      <c r="J44" s="14"/>
      <c r="K44" s="90"/>
      <c r="L44" s="80"/>
      <c r="M44" s="16"/>
      <c r="N44" s="16"/>
      <c r="O44" s="17"/>
      <c r="P44" s="17"/>
      <c r="Q44" s="18"/>
      <c r="R44" s="14"/>
    </row>
    <row r="45" spans="1:19" ht="18.75" customHeight="1" x14ac:dyDescent="0.25">
      <c r="A45" s="5"/>
      <c r="B45" s="5"/>
      <c r="C45" s="5"/>
      <c r="D45" s="5"/>
      <c r="E45" s="5"/>
      <c r="F45" s="5"/>
      <c r="G45" s="5"/>
      <c r="I45" s="8"/>
      <c r="J45" s="14"/>
      <c r="K45" s="94"/>
      <c r="L45" s="103" t="s">
        <v>125</v>
      </c>
      <c r="M45" s="105" t="s">
        <v>89</v>
      </c>
      <c r="N45" s="100"/>
      <c r="O45" s="100"/>
      <c r="P45" s="100"/>
      <c r="Q45" s="101"/>
      <c r="R45" s="14"/>
    </row>
    <row r="46" spans="1:19" ht="18.75" customHeight="1" x14ac:dyDescent="0.25">
      <c r="A46" s="5"/>
      <c r="B46" s="5"/>
      <c r="C46" s="5"/>
      <c r="D46" s="5"/>
      <c r="E46" s="5"/>
      <c r="F46" s="5"/>
      <c r="G46" s="5"/>
      <c r="I46" s="8"/>
      <c r="J46" s="14"/>
      <c r="K46" s="95"/>
      <c r="L46" s="102" t="s">
        <v>95</v>
      </c>
      <c r="M46" s="99" t="s">
        <v>96</v>
      </c>
      <c r="N46" s="96"/>
      <c r="O46" s="97"/>
      <c r="P46" s="97"/>
      <c r="Q46" s="98"/>
      <c r="R46" s="14"/>
    </row>
    <row r="47" spans="1:19" ht="18.75" customHeight="1" x14ac:dyDescent="0.25">
      <c r="A47" s="6"/>
      <c r="I47" s="8"/>
      <c r="J47" s="14"/>
      <c r="K47" s="19"/>
      <c r="L47" s="14"/>
      <c r="M47" s="15"/>
      <c r="N47" s="16"/>
      <c r="O47" s="17"/>
      <c r="P47" s="17"/>
      <c r="Q47" s="18"/>
      <c r="R47" s="14"/>
      <c r="S47" s="5"/>
    </row>
    <row r="48" spans="1:19" ht="15.75" x14ac:dyDescent="0.25">
      <c r="A48" s="6"/>
      <c r="I48" s="8"/>
      <c r="J48" s="73" t="s">
        <v>123</v>
      </c>
      <c r="K48" s="138" t="s">
        <v>97</v>
      </c>
      <c r="L48" s="138"/>
      <c r="M48" s="138"/>
      <c r="N48" s="138"/>
      <c r="O48" s="138"/>
      <c r="P48" s="138"/>
      <c r="Q48" s="138"/>
      <c r="R48" s="14"/>
      <c r="S48" s="5"/>
    </row>
    <row r="49" spans="1:19" x14ac:dyDescent="0.25">
      <c r="A49" s="6"/>
      <c r="I49" s="8"/>
      <c r="J49" s="14"/>
      <c r="K49" s="138"/>
      <c r="L49" s="138"/>
      <c r="M49" s="138"/>
      <c r="N49" s="138"/>
      <c r="O49" s="138"/>
      <c r="P49" s="138"/>
      <c r="Q49" s="138"/>
      <c r="R49" s="14"/>
      <c r="S49" s="5"/>
    </row>
    <row r="50" spans="1:19" ht="15.75" x14ac:dyDescent="0.25">
      <c r="A50" s="6"/>
      <c r="I50" s="8"/>
      <c r="J50" s="14"/>
      <c r="K50" s="86"/>
      <c r="L50" s="86"/>
      <c r="M50" s="86"/>
      <c r="N50" s="86"/>
      <c r="O50" s="86"/>
      <c r="P50" s="86"/>
      <c r="Q50" s="86"/>
      <c r="R50" s="14"/>
      <c r="S50" s="5"/>
    </row>
    <row r="51" spans="1:19" ht="15.75" customHeight="1" x14ac:dyDescent="0.25">
      <c r="A51" s="6"/>
      <c r="I51" s="8"/>
      <c r="J51" s="14"/>
      <c r="K51" s="139" t="s">
        <v>98</v>
      </c>
      <c r="L51" s="140"/>
      <c r="M51" s="91" t="s">
        <v>80</v>
      </c>
      <c r="N51" s="87"/>
      <c r="O51" s="81"/>
      <c r="P51" s="81"/>
      <c r="Q51" s="82"/>
      <c r="R51" s="14"/>
    </row>
    <row r="52" spans="1:19" ht="15.75" x14ac:dyDescent="0.25">
      <c r="A52" s="6"/>
      <c r="I52" s="8"/>
      <c r="J52" s="14"/>
      <c r="K52" s="141" t="s">
        <v>99</v>
      </c>
      <c r="L52" s="142"/>
      <c r="M52" s="92" t="s">
        <v>111</v>
      </c>
      <c r="N52" s="88"/>
      <c r="O52" s="14"/>
      <c r="P52" s="14"/>
      <c r="Q52" s="83"/>
      <c r="R52" s="14"/>
    </row>
    <row r="53" spans="1:19" ht="15.75" x14ac:dyDescent="0.25">
      <c r="I53" s="8"/>
      <c r="J53" s="14"/>
      <c r="K53" s="136" t="s">
        <v>100</v>
      </c>
      <c r="L53" s="137"/>
      <c r="M53" s="93" t="s">
        <v>112</v>
      </c>
      <c r="N53" s="89"/>
      <c r="O53" s="84"/>
      <c r="P53" s="84"/>
      <c r="Q53" s="85"/>
      <c r="R53" s="14"/>
    </row>
    <row r="54" spans="1:19" x14ac:dyDescent="0.25">
      <c r="I54" s="8"/>
      <c r="J54" s="14"/>
      <c r="K54" s="14"/>
      <c r="L54" s="14"/>
      <c r="M54" s="14"/>
      <c r="N54" s="14"/>
      <c r="O54" s="14"/>
      <c r="P54" s="14"/>
      <c r="Q54" s="14"/>
      <c r="R54" s="14"/>
    </row>
    <row r="55" spans="1:19" x14ac:dyDescent="0.25">
      <c r="I55" s="8"/>
      <c r="J55" s="31"/>
      <c r="K55" s="31"/>
      <c r="L55" s="31"/>
      <c r="M55" s="31"/>
      <c r="N55" s="31"/>
      <c r="O55" s="31"/>
      <c r="P55" s="31"/>
      <c r="Q55" s="31"/>
      <c r="R55" s="31"/>
    </row>
    <row r="56" spans="1:19" x14ac:dyDescent="0.25">
      <c r="I56" s="8"/>
      <c r="J56" s="31"/>
      <c r="K56" s="31"/>
      <c r="L56" s="31"/>
      <c r="M56" s="31"/>
      <c r="N56" s="31"/>
      <c r="O56" s="31"/>
      <c r="P56" s="31"/>
      <c r="Q56" s="31"/>
      <c r="R56" s="31"/>
    </row>
    <row r="57" spans="1:19" x14ac:dyDescent="0.25">
      <c r="J57" s="5"/>
      <c r="K57" s="5"/>
      <c r="L57" s="5"/>
      <c r="M57" s="5"/>
      <c r="N57" s="5"/>
      <c r="O57" s="5"/>
      <c r="P57" s="5"/>
      <c r="Q57" s="5"/>
      <c r="R57" s="5"/>
    </row>
    <row r="58" spans="1:19" x14ac:dyDescent="0.25">
      <c r="J58" s="5"/>
      <c r="K58" s="5"/>
      <c r="L58" s="5"/>
      <c r="M58" s="5"/>
      <c r="N58" s="5"/>
      <c r="O58" s="5"/>
      <c r="P58" s="5"/>
      <c r="Q58" s="5"/>
      <c r="R58" s="5"/>
    </row>
    <row r="59" spans="1:19" x14ac:dyDescent="0.25">
      <c r="J59" s="5"/>
      <c r="K59" s="5"/>
      <c r="L59" s="5"/>
      <c r="M59" s="5"/>
      <c r="N59" s="5"/>
      <c r="O59" s="5"/>
      <c r="P59" s="5"/>
      <c r="Q59" s="5"/>
      <c r="R59" s="5"/>
    </row>
  </sheetData>
  <mergeCells count="36">
    <mergeCell ref="K35:N35"/>
    <mergeCell ref="O35:P35"/>
    <mergeCell ref="K34:N34"/>
    <mergeCell ref="O34:P34"/>
    <mergeCell ref="B5:G5"/>
    <mergeCell ref="B7:G7"/>
    <mergeCell ref="K15:Q17"/>
    <mergeCell ref="K18:Q18"/>
    <mergeCell ref="C6:F6"/>
    <mergeCell ref="C8:F8"/>
    <mergeCell ref="K53:L53"/>
    <mergeCell ref="K48:Q49"/>
    <mergeCell ref="K51:L51"/>
    <mergeCell ref="K52:L52"/>
    <mergeCell ref="J3:R4"/>
    <mergeCell ref="K10:Q12"/>
    <mergeCell ref="K32:N32"/>
    <mergeCell ref="O32:P32"/>
    <mergeCell ref="K33:N33"/>
    <mergeCell ref="O33:P33"/>
    <mergeCell ref="K27:L27"/>
    <mergeCell ref="J7:L8"/>
    <mergeCell ref="J19:L20"/>
    <mergeCell ref="K26:L26"/>
    <mergeCell ref="K24:L24"/>
    <mergeCell ref="K25:L25"/>
    <mergeCell ref="K40:N40"/>
    <mergeCell ref="O40:P40"/>
    <mergeCell ref="K36:N36"/>
    <mergeCell ref="O36:P36"/>
    <mergeCell ref="K37:N37"/>
    <mergeCell ref="O37:P37"/>
    <mergeCell ref="K39:N39"/>
    <mergeCell ref="O39:P39"/>
    <mergeCell ref="K38:N38"/>
    <mergeCell ref="O38:P38"/>
  </mergeCells>
  <dataValidations count="1">
    <dataValidation type="date" allowBlank="1" showInputMessage="1" showErrorMessage="1" sqref="M7:N8" xr:uid="{00000000-0002-0000-0700-000000000000}">
      <formula1>1</formula1>
      <formula2>100000</formula2>
    </dataValidation>
  </dataValidations>
  <hyperlinks>
    <hyperlink ref="M25" r:id="rId1" xr:uid="{00000000-0004-0000-0700-000000000000}"/>
  </hyperlinks>
  <pageMargins left="0.7" right="0.7" top="0.75" bottom="0.75" header="0.3" footer="0.3"/>
  <pageSetup paperSize="9" scale="58" orientation="portrait" horizontalDpi="4294967293" verticalDpi="0"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7DA732502B6C147A48D6346117A915D" ma:contentTypeVersion="8" ma:contentTypeDescription="Создание документа." ma:contentTypeScope="" ma:versionID="1c4fff70ff22f0847bac2cb5ce529af1">
  <xsd:schema xmlns:xsd="http://www.w3.org/2001/XMLSchema" xmlns:xs="http://www.w3.org/2001/XMLSchema" xmlns:p="http://schemas.microsoft.com/office/2006/metadata/properties" xmlns:ns2="66956e6d-a0e1-4853-a0dd-658c7e9ec04e" targetNamespace="http://schemas.microsoft.com/office/2006/metadata/properties" ma:root="true" ma:fieldsID="1a1e1af27676224b83ce0e9114f234ce" ns2:_="">
    <xsd:import namespace="66956e6d-a0e1-4853-a0dd-658c7e9ec04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956e6d-a0e1-4853-a0dd-658c7e9ec0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Теги изображений" ma:readOnly="false" ma:fieldId="{5cf76f15-5ced-4ddc-b409-7134ff3c332f}" ma:taxonomyMulti="true" ma:sspId="2d689c11-42a8-413a-9537-252dfc7d58e5"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66956e6d-a0e1-4853-a0dd-658c7e9ec04e">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DA8D52-E0BF-4C28-82F5-93DCDD51D8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956e6d-a0e1-4853-a0dd-658c7e9ec04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ED04BD-B965-42FE-BAE8-7CB4ED1E0DC8}">
  <ds:schemaRefs>
    <ds:schemaRef ds:uri="http://schemas.microsoft.com/office/infopath/2007/PartnerControls"/>
    <ds:schemaRef ds:uri="http://purl.org/dc/dcmitype/"/>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 ds:uri="http://purl.org/dc/elements/1.1/"/>
    <ds:schemaRef ds:uri="66956e6d-a0e1-4853-a0dd-658c7e9ec04e"/>
  </ds:schemaRefs>
</ds:datastoreItem>
</file>

<file path=customXml/itemProps3.xml><?xml version="1.0" encoding="utf-8"?>
<ds:datastoreItem xmlns:ds="http://schemas.openxmlformats.org/officeDocument/2006/customXml" ds:itemID="{3621D67A-5B23-4647-BB7F-1CA8AB68CC6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8</vt:i4>
      </vt:variant>
      <vt:variant>
        <vt:lpstr>Именованные диапазоны</vt:lpstr>
      </vt:variant>
      <vt:variant>
        <vt:i4>46</vt:i4>
      </vt:variant>
    </vt:vector>
  </HeadingPairs>
  <TitlesOfParts>
    <vt:vector size="54" baseType="lpstr">
      <vt:lpstr>internal</vt:lpstr>
      <vt:lpstr>Настройки</vt:lpstr>
      <vt:lpstr>БД Авторов</vt:lpstr>
      <vt:lpstr>РИД</vt:lpstr>
      <vt:lpstr>Авторы</vt:lpstr>
      <vt:lpstr>Служебное задание</vt:lpstr>
      <vt:lpstr>Подача заявки</vt:lpstr>
      <vt:lpstr>Next steps</vt:lpstr>
      <vt:lpstr>are_files_ok</vt:lpstr>
      <vt:lpstr>last_code_folder</vt:lpstr>
      <vt:lpstr>reg_cd_filename</vt:lpstr>
      <vt:lpstr>reg_docs_folder</vt:lpstr>
      <vt:lpstr>reg_docs_pdffolder</vt:lpstr>
      <vt:lpstr>reg_printfiles_divider</vt:lpstr>
      <vt:lpstr>reg_printfiles_first_copiescount</vt:lpstr>
      <vt:lpstr>reg_printfiles_first_name</vt:lpstr>
      <vt:lpstr>reg_printfiles_first_printtype</vt:lpstr>
      <vt:lpstr>reg_sendpdf_contact</vt:lpstr>
      <vt:lpstr>reg_sendpdf_email</vt:lpstr>
      <vt:lpstr>reg_sendpdf_name</vt:lpstr>
      <vt:lpstr>reg_sendpdf_subject</vt:lpstr>
      <vt:lpstr>reg_submit_address</vt:lpstr>
      <vt:lpstr>reg_submit_name</vt:lpstr>
      <vt:lpstr>reg_submit_room</vt:lpstr>
      <vt:lpstr>ria_annotation</vt:lpstr>
      <vt:lpstr>ria_authors_contacts</vt:lpstr>
      <vt:lpstr>ria_authors_department</vt:lpstr>
      <vt:lpstr>ria_code_file</vt:lpstr>
      <vt:lpstr>ria_code_size</vt:lpstr>
      <vt:lpstr>ria_docs_submission_date</vt:lpstr>
      <vt:lpstr>ria_docs_submission_responsible_fullname_long</vt:lpstr>
      <vt:lpstr>ria_officialtask_enddate</vt:lpstr>
      <vt:lpstr>ria_officialtask_responsible_fullname_long</vt:lpstr>
      <vt:lpstr>ria_officialtask_responsible_fullname_long_da</vt:lpstr>
      <vt:lpstr>ria_officialtask_responsible_fullname_long_tv</vt:lpstr>
      <vt:lpstr>ria_officialtask_responsible_position</vt:lpstr>
      <vt:lpstr>ria_officialtask_stafftime</vt:lpstr>
      <vt:lpstr>ria_officialtask_startdate</vt:lpstr>
      <vt:lpstr>ria_programming_language</vt:lpstr>
      <vt:lpstr>ria_specification</vt:lpstr>
      <vt:lpstr>ria_title</vt:lpstr>
      <vt:lpstr>ria_year</vt:lpstr>
      <vt:lpstr>internal!tmpl_date</vt:lpstr>
      <vt:lpstr>Авторы!tmpl_date</vt:lpstr>
      <vt:lpstr>'БД Авторов'!tmpl_date</vt:lpstr>
      <vt:lpstr>'Подача заявки'!tmpl_date</vt:lpstr>
      <vt:lpstr>РИД!tmpl_date</vt:lpstr>
      <vt:lpstr>'Служебное задание'!tmpl_date</vt:lpstr>
      <vt:lpstr>internal!tmpl_version</vt:lpstr>
      <vt:lpstr>Авторы!tmpl_version</vt:lpstr>
      <vt:lpstr>'БД Авторов'!tmpl_version</vt:lpstr>
      <vt:lpstr>'Подача заявки'!tmpl_version</vt:lpstr>
      <vt:lpstr>РИД!tmpl_version</vt:lpstr>
      <vt:lpstr>'Служебное задание'!tmpl_version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Perry Mason</dc:creator>
  <cp:lastModifiedBy>Zufar Karimov</cp:lastModifiedBy>
  <cp:lastPrinted>2019-05-30T16:58:25Z</cp:lastPrinted>
  <dcterms:created xsi:type="dcterms:W3CDTF">2006-09-16T00:00:00Z</dcterms:created>
  <dcterms:modified xsi:type="dcterms:W3CDTF">2023-11-17T12:39:35Z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0x01010027DA732502B6C147A48D6346117A915D</vt:lpwstr>
  </property>
</Properties>
</file>